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Projects\DataMining\Database_Schema\Synchronize_PrismDB1_with_PrismDB2\"/>
    </mc:Choice>
  </mc:AlternateContent>
  <xr:revisionPtr revIDLastSave="0" documentId="13_ncr:1_{3B8AEE97-BA77-42FF-A11D-E01CB2EE1CD3}" xr6:coauthVersionLast="47" xr6:coauthVersionMax="47" xr10:uidLastSave="{00000000-0000-0000-0000-000000000000}"/>
  <bookViews>
    <workbookView xWindow="952" yWindow="465" windowWidth="22321" windowHeight="11618" activeTab="1" xr2:uid="{7726E3A3-6072-4DA5-AC51-EDEC9D5004CC}"/>
  </bookViews>
  <sheets>
    <sheet name="Foreign_Key_Constraint_Tables" sheetId="1" r:id="rId1"/>
    <sheet name="Drop_Add_Foreign_Ke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2" l="1"/>
  <c r="I90" i="2"/>
  <c r="F89" i="2"/>
  <c r="F90" i="2"/>
  <c r="D90" i="2"/>
  <c r="I89" i="2"/>
  <c r="H89" i="2"/>
  <c r="D89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4" i="2"/>
  <c r="D43" i="2"/>
  <c r="D42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4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D11" i="2"/>
  <c r="D10" i="2"/>
  <c r="D9" i="2"/>
  <c r="D4" i="2"/>
  <c r="D5" i="2"/>
  <c r="D7" i="2"/>
  <c r="D6" i="2"/>
  <c r="D15" i="2"/>
  <c r="D12" i="2"/>
  <c r="D13" i="2"/>
  <c r="D14" i="2"/>
  <c r="D16" i="2"/>
  <c r="D17" i="2"/>
  <c r="D18" i="2"/>
  <c r="D19" i="2"/>
  <c r="D20" i="2"/>
  <c r="D21" i="2"/>
  <c r="D22" i="2"/>
  <c r="D25" i="2"/>
  <c r="D26" i="2"/>
  <c r="D23" i="2"/>
  <c r="D24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5" i="2"/>
  <c r="D66" i="2"/>
  <c r="D64" i="2"/>
  <c r="D67" i="2"/>
  <c r="D68" i="2"/>
  <c r="D71" i="2"/>
  <c r="D72" i="2"/>
  <c r="D69" i="2"/>
  <c r="D70" i="2"/>
  <c r="D74" i="2"/>
  <c r="D76" i="2"/>
  <c r="D77" i="2"/>
  <c r="D75" i="2"/>
  <c r="D73" i="2"/>
  <c r="D78" i="2"/>
  <c r="D79" i="2"/>
  <c r="D80" i="2"/>
  <c r="D81" i="2"/>
  <c r="D82" i="2"/>
  <c r="D83" i="2"/>
  <c r="D84" i="2"/>
  <c r="D85" i="2"/>
  <c r="D86" i="2"/>
  <c r="D87" i="2"/>
  <c r="D88" i="2"/>
  <c r="D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2" i="1"/>
</calcChain>
</file>

<file path=xl/sharedStrings.xml><?xml version="1.0" encoding="utf-8"?>
<sst xmlns="http://schemas.openxmlformats.org/spreadsheetml/2006/main" count="483" uniqueCount="355">
  <si>
    <t>t_yes_no</t>
  </si>
  <si>
    <t>t_user_status</t>
  </si>
  <si>
    <t>t_param_file_types</t>
  </si>
  <si>
    <t>t_analysis_tool</t>
  </si>
  <si>
    <t>t_archive_path_function</t>
  </si>
  <si>
    <t>tset_archive_update_state_name</t>
  </si>
  <si>
    <t>t_release_restrictions</t>
  </si>
  <si>
    <t>t_charge_code_activation_state</t>
  </si>
  <si>
    <t>t_charge_code_state</t>
  </si>
  <si>
    <t>t_default_psm_job_types</t>
  </si>
  <si>
    <t>t_email_alert_state</t>
  </si>
  <si>
    <t>t_emsl_instruments</t>
  </si>
  <si>
    <t>t_eus_proposal_state_name</t>
  </si>
  <si>
    <t>t_eus_proposals</t>
  </si>
  <si>
    <t>t_eus_site_status</t>
  </si>
  <si>
    <t>t_eus_users</t>
  </si>
  <si>
    <t>t_event_target</t>
  </si>
  <si>
    <t>t_internal_std_components</t>
  </si>
  <si>
    <t>t_internal_std_parent_mixes</t>
  </si>
  <si>
    <t>t_experiment_plex_channel_type_name</t>
  </si>
  <si>
    <t>t_sample_labelling</t>
  </si>
  <si>
    <t>t_sample_prep_request_state_name</t>
  </si>
  <si>
    <t>t_sample_prep_request_type_name</t>
  </si>
  <si>
    <t>t_tissue_source</t>
  </si>
  <si>
    <t>t_myemsl_state</t>
  </si>
  <si>
    <t>t_filter_set_criteria_groups</t>
  </si>
  <si>
    <t>t_storage_path_hosts</t>
  </si>
  <si>
    <t>tset_type_name</t>
  </si>
  <si>
    <t>t_instrument_class</t>
  </si>
  <si>
    <t>t_instrument_group_allocation_tag</t>
  </si>
  <si>
    <t>t_instrument_group</t>
  </si>
  <si>
    <t>t_instrument_ops_role</t>
  </si>
  <si>
    <t>t_instrument_name</t>
  </si>
  <si>
    <t>tset_archive_state_name</t>
  </si>
  <si>
    <t>tset_rating_name</t>
  </si>
  <si>
    <t>tset_state_name</t>
  </si>
  <si>
    <t>t_lc_cart_state_name</t>
  </si>
  <si>
    <t>t_lc_column_state_name</t>
  </si>
  <si>
    <t>t_separation_group</t>
  </si>
  <si>
    <t>t_secondary_sep_sample_type</t>
  </si>
  <si>
    <t>t_secondary_sep</t>
  </si>
  <si>
    <t>t_modification_types</t>
  </si>
  <si>
    <t>t_notification_entity_type</t>
  </si>
  <si>
    <t>t_notification_event_type</t>
  </si>
  <si>
    <t>t_predefined_analysis_scheduling_queue_state</t>
  </si>
  <si>
    <t>t_project_usage_types</t>
  </si>
  <si>
    <t>t_requested_run_queue_state</t>
  </si>
  <si>
    <t>t_seq_local_symbols_list</t>
  </si>
  <si>
    <t>t_analysis_request_state_name</t>
  </si>
  <si>
    <t>t_analysis_request_type_name</t>
  </si>
  <si>
    <t>t_analysis_job_state</t>
  </si>
  <si>
    <t>t_analysis_job_request_state</t>
  </si>
  <si>
    <t>t_analysis_job</t>
  </si>
  <si>
    <t>tset_svc_center_report_state</t>
  </si>
  <si>
    <t>tset_create_queue_state</t>
  </si>
  <si>
    <t>t_instrument_state_name</t>
  </si>
  <si>
    <t>Table</t>
  </si>
  <si>
    <t>table_schema</t>
  </si>
  <si>
    <t>table_name</t>
  </si>
  <si>
    <t>constraint_name</t>
  </si>
  <si>
    <t>public</t>
  </si>
  <si>
    <t>fk_t_analysis_job_t_myemsl_state</t>
  </si>
  <si>
    <t>fk_t_analysis_job_t_yes_no</t>
  </si>
  <si>
    <t>fk_t_analysis_job_t_analysis_job_state</t>
  </si>
  <si>
    <t>fk_t_analysis_job_t_analysis_tool</t>
  </si>
  <si>
    <t>t_analysis_job_processor_tools</t>
  </si>
  <si>
    <t>fk_t_analysis_job_processor_tools_t_analysis_tool</t>
  </si>
  <si>
    <t>t_analysis_job_request</t>
  </si>
  <si>
    <t>fk_t_analysis_job_request_t_analysis_job_request_state</t>
  </si>
  <si>
    <t>t_analysis_job_status_history</t>
  </si>
  <si>
    <t>fk_t_analysis_job_status_history_t_analysis_job_state</t>
  </si>
  <si>
    <t>fk_t_analysis_job_status_history_t_analysis_tool</t>
  </si>
  <si>
    <t>fk_t_analysis_tool_t_param_file_types</t>
  </si>
  <si>
    <t>t_analysis_tool_allowed_dataset_type</t>
  </si>
  <si>
    <t>fk_t_analysis_tool_allowed_dataset_type_t_analysis_tool</t>
  </si>
  <si>
    <t>t_analysis_tool_allowed_instrument_class</t>
  </si>
  <si>
    <t>fk_t_analysis_tool_allowed_instrument_class_t_analysis_tool</t>
  </si>
  <si>
    <t>fk_t_analysis_tool_allowed_instrument_class_t_instrument_class</t>
  </si>
  <si>
    <t>t_archive_path</t>
  </si>
  <si>
    <t>fk_t_archive_path_t_archive_path_function</t>
  </si>
  <si>
    <t>t_cached_dataset_stats</t>
  </si>
  <si>
    <t>fk_t_cached_dataset_stats_t_instrument_name</t>
  </si>
  <si>
    <t>t_cached_instrument_dataset_type_usage</t>
  </si>
  <si>
    <t>fk_t_cached_instrument_dataset_type_usage_t_instrument_name</t>
  </si>
  <si>
    <t>t_cached_instrument_usage_by_proposal</t>
  </si>
  <si>
    <t>fk_t_cached_instrument_usage_by_proposal_t_instrument_group</t>
  </si>
  <si>
    <t>fk_t_cached_instrument_usage_by_proposal_t_eus_proposals</t>
  </si>
  <si>
    <t>t_charge_code</t>
  </si>
  <si>
    <t>fk_t_charge_code_t_charge_code_state</t>
  </si>
  <si>
    <t>fk_t_charge_code_t_charge_code_activation_state</t>
  </si>
  <si>
    <t>t_dataset</t>
  </si>
  <si>
    <t>fk_t_dataset_t_instrument_name</t>
  </si>
  <si>
    <t>fk_t_dataset_t_secondary_sep</t>
  </si>
  <si>
    <t>t_dataset_archive</t>
  </si>
  <si>
    <t>fk_t_dataset_archive_t_myemsl_state</t>
  </si>
  <si>
    <t>fk_t_dataset_archive_t_yes_no</t>
  </si>
  <si>
    <t>t_dataset_type_name</t>
  </si>
  <si>
    <t>fk_t_dataset_type_name_t_yes_no</t>
  </si>
  <si>
    <t>t_default_psm_job_parameters</t>
  </si>
  <si>
    <t>fk_t_default_psm_job_parameters_t_analysis_tool</t>
  </si>
  <si>
    <t>fk_t_default_psm_job_parameters_t_default_psm_job_types</t>
  </si>
  <si>
    <t>t_default_psm_job_settings</t>
  </si>
  <si>
    <t>fk_t_default_psm_job_settings_t_analysis_tool</t>
  </si>
  <si>
    <t>fk_t_default_psm_job_settings_t_default_psm_job_types</t>
  </si>
  <si>
    <t>t_email_alerts</t>
  </si>
  <si>
    <t>fk_t_email_alerts_t_email_alert_state</t>
  </si>
  <si>
    <t>t_emsl_dms_instrument_mapping</t>
  </si>
  <si>
    <t>fk_t_emsl_dms_instrument_mapping_t_instrument_name</t>
  </si>
  <si>
    <t>fk_t_emsl_dms_instrument_mapping_t_emsl_instruments</t>
  </si>
  <si>
    <t>t_emsl_instrument_usage_report</t>
  </si>
  <si>
    <t>fk_t_emsl_instrument_usage_report_t_emsl_instruments</t>
  </si>
  <si>
    <t>fk_t_emsl_instrument_usage_report_t_instrument_name</t>
  </si>
  <si>
    <t>t_entity_rename_log</t>
  </si>
  <si>
    <t>fk_t_entity_rename_log_t_event_target</t>
  </si>
  <si>
    <t>t_eus_proposal_users</t>
  </si>
  <si>
    <t>fk_t_eus_proposal_users_t_eus_users</t>
  </si>
  <si>
    <t>fk_t_eus_proposal_users_t_eus_proposals</t>
  </si>
  <si>
    <t>fk_t_eus_proposals_t_eus_proposal_state_name</t>
  </si>
  <si>
    <t>fk_t_eus_users_t_eus_site_status</t>
  </si>
  <si>
    <t>mc</t>
  </si>
  <si>
    <t>t_event_log</t>
  </si>
  <si>
    <t>fk_t_event_log_t_event_target</t>
  </si>
  <si>
    <t>pc</t>
  </si>
  <si>
    <t>t_experiments</t>
  </si>
  <si>
    <t>fk_t_experiments_t_sample_labelling</t>
  </si>
  <si>
    <t>fk_t_experiments_t_tissue_source</t>
  </si>
  <si>
    <t>t_filter_set_criteria</t>
  </si>
  <si>
    <t>fk_t_filter_set_criteria_t_filter_set_criteria_groups</t>
  </si>
  <si>
    <t>fk_t_instrument_group_t_instrument_group_allocation_tag</t>
  </si>
  <si>
    <t>fk_t_instrument_group_target_instrument_group</t>
  </si>
  <si>
    <t>fk_t_instrument_name_t_instrument_class</t>
  </si>
  <si>
    <t>fk_t_instrument_name_t_instrument_ops_role</t>
  </si>
  <si>
    <t>fk_t_instrument_name_t_instrument_state_name</t>
  </si>
  <si>
    <t>fk_t_instrument_name_t_yes_no</t>
  </si>
  <si>
    <t>t_internal_std_composition</t>
  </si>
  <si>
    <t>fk_t_internal_standards_composition_t_internal_std_components</t>
  </si>
  <si>
    <t>fk_t_internal_std_composition_t_internal_std_parent_mixes</t>
  </si>
  <si>
    <t>t_lc_column</t>
  </si>
  <si>
    <t>fk_t_lc_column_t_lc_column_state_name</t>
  </si>
  <si>
    <t>t_notification_entity_user</t>
  </si>
  <si>
    <t>fk_t_notification_entity_user_t_notification_entity_type</t>
  </si>
  <si>
    <t>t_notification_event</t>
  </si>
  <si>
    <t>fk_t_notification_event_t_notification_event_type</t>
  </si>
  <si>
    <t>fk_t_notification_event_type_t_notification_entity_type</t>
  </si>
  <si>
    <t>t_organisms</t>
  </si>
  <si>
    <t>fk_t_organisms_t_yes_no</t>
  </si>
  <si>
    <t>t_param_file_mass_mods</t>
  </si>
  <si>
    <t>fk_t_param_file_mass_mods_t_modification_types</t>
  </si>
  <si>
    <t>fk_t_param_file_mass_mods_t_seq_local_symbols_list</t>
  </si>
  <si>
    <t>fk_t_param_file_types_t_analysis_tool</t>
  </si>
  <si>
    <t>t_param_files</t>
  </si>
  <si>
    <t>fk_t_param_files_t_param_file_types</t>
  </si>
  <si>
    <t>t_predefined_analysis</t>
  </si>
  <si>
    <t>fk_t_predefined_analysis_t_analysis_tool</t>
  </si>
  <si>
    <t>fk_t_predefined_analysis_t_instrument_class</t>
  </si>
  <si>
    <t>t_predefined_analysis_scheduling_rules</t>
  </si>
  <si>
    <t>fk_t_predefined_analysis_scheduling_rules_t_analysis_job</t>
  </si>
  <si>
    <t>t_prep_lc_run</t>
  </si>
  <si>
    <t>fk_t_prep_lc_run_t_instrument_name</t>
  </si>
  <si>
    <t>t_project_usage_stats</t>
  </si>
  <si>
    <t>fk_t_project_usage_stats_t_eus_proposals</t>
  </si>
  <si>
    <t>t_reporter_ion_observation_rates</t>
  </si>
  <si>
    <t>fk_t_reporter_ion_observation_rates_t_analysis_job</t>
  </si>
  <si>
    <t>fk_t_reporter_ion_observation_rates_t_sample_labelling</t>
  </si>
  <si>
    <t>t_reporter_ion_observation_rates_addnl</t>
  </si>
  <si>
    <t>fk_t_reporter_ion_observation_rates_addnl_t_analysis_job</t>
  </si>
  <si>
    <t>fk_t_reporter_ion_observation_rates_addnl_t_sample_labelling</t>
  </si>
  <si>
    <t>t_requested_run</t>
  </si>
  <si>
    <t>fk_t_requested_run_t_charge_code_activation_state</t>
  </si>
  <si>
    <t>fk_t_requested_run_t_requested_run_queue_state</t>
  </si>
  <si>
    <t>fk_t_requested_run_t_separation_group</t>
  </si>
  <si>
    <t>fk_t_requested_run_t_eus_proposals</t>
  </si>
  <si>
    <t>t_requested_run_eus_users</t>
  </si>
  <si>
    <t>fk_t_requested_run_eus_users_t_eus_users</t>
  </si>
  <si>
    <t>t_sample_labelling_reporter_ions</t>
  </si>
  <si>
    <t>fk_t_sample_labelling_reporter_ions_t_sample_labelling</t>
  </si>
  <si>
    <t>t_sample_prep_request</t>
  </si>
  <si>
    <t>fk_t_sample_prep_request_t_eus_proposals</t>
  </si>
  <si>
    <t>fk_t_sample_prep_request_t_eus_users</t>
  </si>
  <si>
    <t>fk_t_sample_prep_request_t_sample_prep_request_state_name</t>
  </si>
  <si>
    <t>fk_t_sample_prep_request_t_sample_prep_request_type_name</t>
  </si>
  <si>
    <t>fk_t_secondary_sep_t_secondary_sep_sample_type</t>
  </si>
  <si>
    <t>fk_t_secondary_sep_t_separation_group</t>
  </si>
  <si>
    <t>t_settings_files</t>
  </si>
  <si>
    <t>fk_t_settings_files_t_analysis_tool</t>
  </si>
  <si>
    <t>t_storage_path</t>
  </si>
  <si>
    <t>fk_t_storage_path_t_instrument_name</t>
  </si>
  <si>
    <t>fk_t_storage_path_t_storage_path_hosts</t>
  </si>
  <si>
    <t>t_users</t>
  </si>
  <si>
    <t>fk_t_users_t_user_status</t>
  </si>
  <si>
    <r>
      <t>SELECT</t>
    </r>
    <r>
      <rPr>
        <sz val="11"/>
        <color theme="1"/>
        <rFont val="Consolas"/>
        <family val="3"/>
      </rPr>
      <t xml:space="preserve"> table_schema, table_name, constraint_name</t>
    </r>
  </si>
  <si>
    <r>
      <t>FROM</t>
    </r>
    <r>
      <rPr>
        <sz val="11"/>
        <color theme="1"/>
        <rFont val="Consolas"/>
        <family val="3"/>
      </rPr>
      <t xml:space="preserve"> INFORMATION_SCHEMA.table_constraints </t>
    </r>
  </si>
  <si>
    <r>
      <t>WHERE</t>
    </r>
    <r>
      <rPr>
        <sz val="11"/>
        <color theme="1"/>
        <rFont val="Consolas"/>
        <family val="3"/>
      </rPr>
      <t xml:space="preserve"> 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</si>
  <si>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'fk_%t_yes_no'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</si>
  <si>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'fk_%t_user_status'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</si>
  <si>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'fk_%t_param_file_types'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</si>
  <si>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'fk_%t_analysis_tool'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</si>
  <si>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'fk_%t_archive_path_function'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</si>
  <si>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'fk_%tset_archive_update_state_name'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</si>
  <si>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'fk_%t_release_restrictions'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</si>
  <si>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'fk_%t_charge_code_activation_state'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</si>
  <si>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'fk_%t_charge_code_state'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</si>
  <si>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'fk_%t_default_psm_job_types'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</si>
  <si>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'fk_%t_email_alert_state'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</si>
  <si>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'fk_%t_emsl_instruments'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</si>
  <si>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'fk_%t_eus_proposal_state_name'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</si>
  <si>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'fk_%t_eus_proposals'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</si>
  <si>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'fk_%t_eus_site_status'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</si>
  <si>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'fk_%t_eus_users'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</si>
  <si>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'fk_%t_event_target'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</si>
  <si>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'fk_%t_internal_std_components'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</si>
  <si>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'fk_%t_internal_std_parent_mixes'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</si>
  <si>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'fk_%t_experiment_plex_channel_type_name'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</si>
  <si>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'fk_%t_sample_labelling'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</si>
  <si>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'fk_%t_sample_prep_request_state_name'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</si>
  <si>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'fk_%t_sample_prep_request_type_name'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</si>
  <si>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'fk_%t_tissue_source'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</si>
  <si>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'fk_%t_myemsl_state'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</si>
  <si>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'fk_%t_filter_set_criteria_groups'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</si>
  <si>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'fk_%t_storage_path_hosts'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</si>
  <si>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'fk_%tset_type_name'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</si>
  <si>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'fk_%t_instrument_class'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</si>
  <si>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'fk_%t_instrument_group_allocation_tag'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</si>
  <si>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'fk_%t_instrument_group'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</si>
  <si>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'fk_%t_instrument_ops_role'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</si>
  <si>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'fk_%t_instrument_name'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</si>
  <si>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'fk_%tset_archive_state_name'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</si>
  <si>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'fk_%tset_rating_name'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</si>
  <si>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'fk_%tset_state_name'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</si>
  <si>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'fk_%t_lc_cart_state_name'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</si>
  <si>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'fk_%t_lc_column_state_name'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</si>
  <si>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'fk_%t_separation_group'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</si>
  <si>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'fk_%t_secondary_sep_sample_type'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</si>
  <si>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'fk_%t_secondary_sep'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</si>
  <si>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'fk_%t_modification_types'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</si>
  <si>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'fk_%t_notification_entity_type'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</si>
  <si>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'fk_%t_notification_event_type'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</si>
  <si>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'fk_%t_predefined_analysis_scheduling_queue_state'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</si>
  <si>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'fk_%t_project_usage_types'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</si>
  <si>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'fk_%t_requested_run_queue_state'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</si>
  <si>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'fk_%t_seq_local_symbols_list'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</si>
  <si>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'fk_%t_analysis_request_state_name'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</si>
  <si>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'fk_%t_analysis_request_type_name'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</si>
  <si>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'fk_%t_analysis_job_state'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</si>
  <si>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'fk_%t_analysis_job_request_state'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</si>
  <si>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'fk_%t_analysis_job'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</si>
  <si>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'fk_%tset_svc_center_report_state'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</si>
  <si>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'fk_%tset_create_queue_state'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OR</t>
    </r>
  </si>
  <si>
    <r>
      <t xml:space="preserve">    constraint_name </t>
    </r>
    <r>
      <rPr>
        <b/>
        <sz val="11"/>
        <color theme="1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0000FF"/>
        <rFont val="Consolas"/>
        <family val="3"/>
      </rPr>
      <t>'fk_%t_instrument_state_name'</t>
    </r>
  </si>
  <si>
    <r>
      <t>ORDER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BY</t>
    </r>
    <r>
      <rPr>
        <sz val="11"/>
        <color theme="1"/>
        <rFont val="Consolas"/>
        <family val="3"/>
      </rPr>
      <t xml:space="preserve"> table_schema, table_name;</t>
    </r>
  </si>
  <si>
    <t>File Paths</t>
  </si>
  <si>
    <t>Foreign Key Names RegEx</t>
  </si>
  <si>
    <t xml:space="preserve">    ADD CONSTRAINT fk_t_charge_code_t_charge_code_activation_state FOREIGN KEY (activation_state) REFERENCES public.t_charge_code_activation_state(activation_state);</t>
  </si>
  <si>
    <t xml:space="preserve">    ADD CONSTRAINT fk_t_charge_code_t_charge_code_state FOREIGN KEY (charge_code_state) REFERENCES public.t_charge_code_state(charge_code_state);</t>
  </si>
  <si>
    <t xml:space="preserve">    ADD CONSTRAINT fk_t_analysis_job_t_analysis_job_state FOREIGN KEY (job_state_id) REFERENCES public.t_analysis_job_state(job_state_id);</t>
  </si>
  <si>
    <t xml:space="preserve">    ADD CONSTRAINT fk_t_analysis_job_t_analysis_tool FOREIGN KEY (analysis_tool_id) REFERENCES public.t_analysis_tool(analysis_tool_id);</t>
  </si>
  <si>
    <t xml:space="preserve">    ADD CONSTRAINT fk_t_analysis_job_t_myemsl_state FOREIGN KEY (myemsl_state) REFERENCES public.t_myemsl_state(myemsl_state);</t>
  </si>
  <si>
    <t xml:space="preserve">    ADD CONSTRAINT fk_t_analysis_job_t_yes_no FOREIGN KEY (dataset_unreviewed) REFERENCES public.t_yes_no(flag);</t>
  </si>
  <si>
    <t xml:space="preserve">    ADD CONSTRAINT fk_t_analysis_job_processor_tools_t_analysis_tool FOREIGN KEY (tool_id) REFERENCES public.t_analysis_tool(analysis_tool_id);</t>
  </si>
  <si>
    <t xml:space="preserve">    ADD CONSTRAINT fk_t_analysis_job_request_t_analysis_job_request_state FOREIGN KEY (request_state_id) REFERENCES public.t_analysis_job_request_state(request_state_id);</t>
  </si>
  <si>
    <t xml:space="preserve">    ADD CONSTRAINT fk_t_analysis_job_status_history_t_analysis_job_state FOREIGN KEY (state_id) REFERENCES public.t_analysis_job_state(job_state_id);</t>
  </si>
  <si>
    <t xml:space="preserve">    ADD CONSTRAINT fk_t_analysis_job_status_history_t_analysis_tool FOREIGN KEY (tool_id) REFERENCES public.t_analysis_tool(analysis_tool_id);</t>
  </si>
  <si>
    <t xml:space="preserve">    ADD CONSTRAINT fk_t_analysis_tool_t_param_file_types FOREIGN KEY (param_file_type_id) REFERENCES public.t_param_file_types(param_file_type_id);</t>
  </si>
  <si>
    <t xml:space="preserve">    ADD CONSTRAINT fk_t_analysis_tool_allowed_dataset_type_t_analysis_tool FOREIGN KEY (analysis_tool_id) REFERENCES public.t_analysis_tool(analysis_tool_id) ON UPDATE CASCADE;</t>
  </si>
  <si>
    <t xml:space="preserve">    ADD CONSTRAINT fk_t_analysis_tool_allowed_instrument_class_t_analysis_tool FOREIGN KEY (analysis_tool_id) REFERENCES public.t_analysis_tool(analysis_tool_id) ON UPDATE CASCADE;</t>
  </si>
  <si>
    <t xml:space="preserve">    ADD CONSTRAINT fk_t_analysis_tool_allowed_instrument_class_t_instrument_class FOREIGN KEY (instrument_class) REFERENCES public.t_instrument_class(instrument_class) ON UPDATE CASCADE;</t>
  </si>
  <si>
    <t xml:space="preserve">    ADD CONSTRAINT fk_t_archive_path_t_archive_path_function FOREIGN KEY (archive_path_function) REFERENCES public.t_archive_path_function(apf_function);</t>
  </si>
  <si>
    <t xml:space="preserve">    ADD CONSTRAINT fk_t_cached_dataset_stats_t_instrument_name FOREIGN KEY (instrument_id) REFERENCES public.t_instrument_name(instrument_id);</t>
  </si>
  <si>
    <t xml:space="preserve">    ADD CONSTRAINT fk_t_cached_instrument_dataset_type_usage_t_instrument_name FOREIGN KEY (instrument_id) REFERENCES public.t_instrument_name(instrument_id) ON UPDATE CASCADE;</t>
  </si>
  <si>
    <t xml:space="preserve">    ADD CONSTRAINT fk_t_cached_instrument_usage_by_proposal_t_eus_proposals FOREIGN KEY (eus_proposal_id) REFERENCES public.t_eus_proposals(proposal_id);</t>
  </si>
  <si>
    <t xml:space="preserve">    ADD CONSTRAINT fk_t_cached_instrument_usage_by_proposal_t_instrument_group FOREIGN KEY (instrument_group) REFERENCES public.t_instrument_group(instrument_group) ON UPDATE CASCADE;</t>
  </si>
  <si>
    <t xml:space="preserve">    ADD CONSTRAINT fk_t_dataset_t_instrument_name FOREIGN KEY (instrument_id) REFERENCES public.t_instrument_name(instrument_id);</t>
  </si>
  <si>
    <t xml:space="preserve">    ADD CONSTRAINT fk_t_dataset_t_secondary_sep FOREIGN KEY (separation_type) REFERENCES public.t_secondary_sep(separation_type) ON UPDATE CASCADE;</t>
  </si>
  <si>
    <t xml:space="preserve">    ADD CONSTRAINT fk_t_dataset_archive_t_myemsl_state FOREIGN KEY (myemsl_state) REFERENCES public.t_myemsl_state(myemsl_state);</t>
  </si>
  <si>
    <t xml:space="preserve">    ADD CONSTRAINT fk_t_dataset_archive_t_yes_no FOREIGN KEY (instrument_data_purged) REFERENCES public.t_yes_no(flag);</t>
  </si>
  <si>
    <t xml:space="preserve">    ADD CONSTRAINT fk_t_dataset_type_name_t_yes_no FOREIGN KEY (active) REFERENCES public.t_yes_no(flag);</t>
  </si>
  <si>
    <t xml:space="preserve">    ADD CONSTRAINT fk_t_default_psm_job_parameters_t_analysis_tool FOREIGN KEY (tool_name) REFERENCES public.t_analysis_tool(analysis_tool);</t>
  </si>
  <si>
    <t xml:space="preserve">    ADD CONSTRAINT fk_t_default_psm_job_parameters_t_default_psm_job_types FOREIGN KEY (job_type_name) REFERENCES public.t_default_psm_job_types(job_type_name);</t>
  </si>
  <si>
    <t xml:space="preserve">    ADD CONSTRAINT fk_t_default_psm_job_settings_t_analysis_tool FOREIGN KEY (tool_name) REFERENCES public.t_analysis_tool(analysis_tool);</t>
  </si>
  <si>
    <t xml:space="preserve">    ADD CONSTRAINT fk_t_default_psm_job_settings_t_default_psm_job_types FOREIGN KEY (job_type_name) REFERENCES public.t_default_psm_job_types(job_type_name);</t>
  </si>
  <si>
    <t xml:space="preserve">    ADD CONSTRAINT fk_t_email_alerts_t_email_alert_state FOREIGN KEY (alert_state) REFERENCES public.t_email_alert_state(alert_state);</t>
  </si>
  <si>
    <t xml:space="preserve">    ADD CONSTRAINT fk_t_emsl_dms_instrument_mapping_t_emsl_instruments FOREIGN KEY (eus_instrument_id) REFERENCES public.t_emsl_instruments(eus_instrument_id);</t>
  </si>
  <si>
    <t xml:space="preserve">    ADD CONSTRAINT fk_t_emsl_dms_instrument_mapping_t_instrument_name FOREIGN KEY (dms_instrument_id) REFERENCES public.t_instrument_name(instrument_id);</t>
  </si>
  <si>
    <t xml:space="preserve">    ADD CONSTRAINT fk_t_emsl_instrument_usage_report_t_emsl_instruments FOREIGN KEY (emsl_inst_id) REFERENCES public.t_emsl_instruments(eus_instrument_id);</t>
  </si>
  <si>
    <t xml:space="preserve">    ADD CONSTRAINT fk_t_emsl_instrument_usage_report_t_instrument_name FOREIGN KEY (dms_inst_id) REFERENCES public.t_instrument_name(instrument_id);</t>
  </si>
  <si>
    <t xml:space="preserve">    ADD CONSTRAINT fk_t_entity_rename_log_t_event_target FOREIGN KEY (target_type) REFERENCES public.t_event_target(target_type_id);</t>
  </si>
  <si>
    <t xml:space="preserve">    ADD CONSTRAINT fk_t_eus_proposal_users_t_eus_proposals FOREIGN KEY (proposal_id) REFERENCES public.t_eus_proposals(proposal_id);</t>
  </si>
  <si>
    <t xml:space="preserve">    ADD CONSTRAINT fk_t_eus_proposal_users_t_eus_users FOREIGN KEY (person_id) REFERENCES public.t_eus_users(person_id);</t>
  </si>
  <si>
    <t xml:space="preserve">    ADD CONSTRAINT fk_t_eus_proposals_t_eus_proposal_state_name FOREIGN KEY (state_id) REFERENCES public.t_eus_proposal_state_name(state_id);</t>
  </si>
  <si>
    <t xml:space="preserve">    ADD CONSTRAINT fk_t_eus_users_t_eus_site_status FOREIGN KEY (site_status_id) REFERENCES public.t_eus_site_status(eus_site_status_id);</t>
  </si>
  <si>
    <t xml:space="preserve">    ADD CONSTRAINT fk_t_experiments_t_sample_labelling FOREIGN KEY (labelling) REFERENCES public.t_sample_labelling(label);</t>
  </si>
  <si>
    <t xml:space="preserve">    ADD CONSTRAINT fk_t_experiments_t_tissue_source FOREIGN KEY (tissue_source_id) REFERENCES public.t_tissue_source(tissue_source_id);</t>
  </si>
  <si>
    <t xml:space="preserve">    ADD CONSTRAINT fk_t_filter_set_criteria_t_filter_set_criteria_groups FOREIGN KEY (filter_criteria_group_id) REFERENCES public.t_filter_set_criteria_groups(filter_criteria_group_id);</t>
  </si>
  <si>
    <t xml:space="preserve">    ADD CONSTRAINT fk_t_instrument_group_t_instrument_group_allocation_tag FOREIGN KEY (allocation_tag) REFERENCES public.t_instrument_group_allocation_tag(allocation_tag);</t>
  </si>
  <si>
    <t xml:space="preserve">    ADD CONSTRAINT fk_t_instrument_group_target_instrument_group FOREIGN KEY (target_instrument_group) REFERENCES public.t_instrument_group(instrument_group);</t>
  </si>
  <si>
    <t xml:space="preserve">    ADD CONSTRAINT fk_t_instrument_name_t_instrument_class FOREIGN KEY (instrument_class) REFERENCES public.t_instrument_class(instrument_class) ON UPDATE CASCADE;</t>
  </si>
  <si>
    <t xml:space="preserve">    ADD CONSTRAINT fk_t_instrument_name_t_instrument_ops_role FOREIGN KEY (operations_role) REFERENCES public.t_instrument_ops_role(role);</t>
  </si>
  <si>
    <t xml:space="preserve">    ADD CONSTRAINT fk_t_instrument_name_t_instrument_state_name FOREIGN KEY (status) REFERENCES public.t_instrument_state_name(state_name);</t>
  </si>
  <si>
    <t xml:space="preserve">    ADD CONSTRAINT fk_t_instrument_name_t_yes_no FOREIGN KEY (auto_define_storage_path) REFERENCES public.t_yes_no(flag);</t>
  </si>
  <si>
    <t xml:space="preserve">    ADD CONSTRAINT fk_t_internal_standards_composition_t_internal_std_components FOREIGN KEY (component_id) REFERENCES public.t_internal_std_components(internal_std_component_id);</t>
  </si>
  <si>
    <t xml:space="preserve">    ADD CONSTRAINT fk_t_internal_std_composition_t_internal_std_parent_mixes FOREIGN KEY (mix_id) REFERENCES public.t_internal_std_parent_mixes(parent_mix_id);</t>
  </si>
  <si>
    <t xml:space="preserve">    ADD CONSTRAINT fk_t_lc_column_t_lc_column_state_name FOREIGN KEY (column_state_id) REFERENCES public.t_lc_column_state_name(column_state_id);</t>
  </si>
  <si>
    <t xml:space="preserve">    ADD CONSTRAINT fk_t_notification_entity_user_t_notification_entity_type FOREIGN KEY (entity_type_id) REFERENCES public.t_notification_entity_type(entity_type_id);</t>
  </si>
  <si>
    <t xml:space="preserve">    ADD CONSTRAINT fk_t_notification_event_t_notification_event_type FOREIGN KEY (event_type_id) REFERENCES public.t_notification_event_type(event_type_id);</t>
  </si>
  <si>
    <t xml:space="preserve">    ADD CONSTRAINT fk_t_notification_event_type_t_notification_entity_type FOREIGN KEY (target_entity_type) REFERENCES public.t_notification_entity_type(entity_type_id);</t>
  </si>
  <si>
    <t xml:space="preserve">    ADD CONSTRAINT fk_t_organisms_t_yes_no FOREIGN KEY (auto_define_taxonomy) REFERENCES public.t_yes_no(flag);</t>
  </si>
  <si>
    <t xml:space="preserve">    ADD CONSTRAINT fk_t_param_file_mass_mods_t_modification_types FOREIGN KEY (mod_type_symbol) REFERENCES public.t_modification_types(mod_type_symbol);</t>
  </si>
  <si>
    <t xml:space="preserve">    ADD CONSTRAINT fk_t_param_file_mass_mods_t_seq_local_symbols_list FOREIGN KEY (local_symbol_id) REFERENCES public.t_seq_local_symbols_list(local_symbol_id);</t>
  </si>
  <si>
    <t xml:space="preserve">    ADD CONSTRAINT fk_t_param_file_types_t_analysis_tool FOREIGN KEY (primary_tool_id) REFERENCES public.t_analysis_tool(analysis_tool_id);</t>
  </si>
  <si>
    <t xml:space="preserve">    ADD CONSTRAINT fk_t_param_files_t_param_file_types FOREIGN KEY (param_file_type_id) REFERENCES public.t_param_file_types(param_file_type_id);</t>
  </si>
  <si>
    <t xml:space="preserve">    ADD CONSTRAINT fk_t_predefined_analysis_t_analysis_tool FOREIGN KEY (analysis_tool_name) REFERENCES public.t_analysis_tool(analysis_tool);</t>
  </si>
  <si>
    <t xml:space="preserve">    ADD CONSTRAINT fk_t_predefined_analysis_t_instrument_class FOREIGN KEY (instrument_class_criteria) REFERENCES public.t_instrument_class(instrument_class);</t>
  </si>
  <si>
    <t xml:space="preserve">    ADD CONSTRAINT fk_t_predefined_analysis_scheduling_rules_t_analysis_job FOREIGN KEY (processor_group_id) REFERENCES public.t_analysis_job_processor_group(group_id);</t>
  </si>
  <si>
    <t xml:space="preserve">    ADD CONSTRAINT fk_t_prep_lc_run_t_instrument_name FOREIGN KEY (instrument) REFERENCES public.t_instrument_name(instrument);</t>
  </si>
  <si>
    <t xml:space="preserve">    ADD CONSTRAINT fk_t_project_usage_stats_t_eus_proposals FOREIGN KEY (proposal_id) REFERENCES public.t_eus_proposals(proposal_id);</t>
  </si>
  <si>
    <t xml:space="preserve">    ADD CONSTRAINT fk_t_reporter_ion_observation_rates_t_analysis_job FOREIGN KEY (job) REFERENCES public.t_analysis_job(job);</t>
  </si>
  <si>
    <t xml:space="preserve">    ADD CONSTRAINT fk_t_reporter_ion_observation_rates_t_sample_labelling FOREIGN KEY (reporter_ion) REFERENCES public.t_sample_labelling(label) ON UPDATE CASCADE;</t>
  </si>
  <si>
    <t xml:space="preserve">    ADD CONSTRAINT fk_t_reporter_ion_observation_rates_addnl_t_analysis_job FOREIGN KEY (job) REFERENCES public.t_analysis_job(job);</t>
  </si>
  <si>
    <t xml:space="preserve">    ADD CONSTRAINT fk_t_reporter_ion_observation_rates_addnl_t_sample_labelling FOREIGN KEY (reporter_ion) REFERENCES public.t_sample_labelling(label) ON UPDATE CASCADE;</t>
  </si>
  <si>
    <t xml:space="preserve">    ADD CONSTRAINT fk_t_requested_run_t_charge_code_activation_state FOREIGN KEY (cached_wp_activation_state) REFERENCES public.t_charge_code_activation_state(activation_state);</t>
  </si>
  <si>
    <t xml:space="preserve">    ADD CONSTRAINT fk_t_requested_run_t_eus_proposals FOREIGN KEY (eus_proposal_id) REFERENCES public.t_eus_proposals(proposal_id);</t>
  </si>
  <si>
    <t xml:space="preserve">    ADD CONSTRAINT fk_t_requested_run_t_requested_run_queue_state FOREIGN KEY (queue_state) REFERENCES public.t_requested_run_queue_state(queue_state);</t>
  </si>
  <si>
    <t xml:space="preserve">    ADD CONSTRAINT fk_t_requested_run_t_separation_group FOREIGN KEY (separation_group) REFERENCES public.t_separation_group(separation_group) ON UPDATE CASCADE;</t>
  </si>
  <si>
    <t xml:space="preserve">    ADD CONSTRAINT fk_t_requested_run_eus_users_t_eus_users FOREIGN KEY (eus_person_id) REFERENCES public.t_eus_users(person_id);</t>
  </si>
  <si>
    <t xml:space="preserve">    ADD CONSTRAINT fk_t_sample_labelling_reporter_ions_t_sample_labelling FOREIGN KEY (label) REFERENCES public.t_sample_labelling(label);</t>
  </si>
  <si>
    <t xml:space="preserve">    ADD CONSTRAINT fk_t_sample_prep_request_t_eus_proposals FOREIGN KEY (eus_proposal_id) REFERENCES public.t_eus_proposals(proposal_id);</t>
  </si>
  <si>
    <t xml:space="preserve">    ADD CONSTRAINT fk_t_sample_prep_request_t_eus_users FOREIGN KEY (eus_user_id) REFERENCES public.t_eus_users(person_id);</t>
  </si>
  <si>
    <t xml:space="preserve">    ADD CONSTRAINT fk_t_sample_prep_request_t_sample_prep_request_state_name FOREIGN KEY (state_id) REFERENCES public.t_sample_prep_request_state_name(state_id);</t>
  </si>
  <si>
    <t xml:space="preserve">    ADD CONSTRAINT fk_t_sample_prep_request_t_sample_prep_request_type_name FOREIGN KEY (request_type) REFERENCES public.t_sample_prep_request_type_name(request_type);</t>
  </si>
  <si>
    <t xml:space="preserve">    ADD CONSTRAINT fk_t_secondary_sep_t_secondary_sep_sample_type FOREIGN KEY (sample_type_id) REFERENCES public.t_secondary_sep_sample_type(sample_type_id);</t>
  </si>
  <si>
    <t xml:space="preserve">    ADD CONSTRAINT fk_t_secondary_sep_t_separation_group FOREIGN KEY (separation_group) REFERENCES public.t_separation_group(separation_group) ON UPDATE CASCADE;</t>
  </si>
  <si>
    <t xml:space="preserve">    ADD CONSTRAINT fk_t_settings_files_t_analysis_tool FOREIGN KEY (analysis_tool) REFERENCES public.t_analysis_tool(analysis_tool);</t>
  </si>
  <si>
    <t xml:space="preserve">    ADD CONSTRAINT fk_t_storage_path_t_instrument_name FOREIGN KEY (instrument) REFERENCES public.t_instrument_name(instrument) ON UPDATE CASCADE;</t>
  </si>
  <si>
    <t xml:space="preserve">    ADD CONSTRAINT fk_t_storage_path_t_storage_path_hosts FOREIGN KEY (machine_name) REFERENCES public.t_storage_path_hosts(machine_name);</t>
  </si>
  <si>
    <t xml:space="preserve">    ADD CONSTRAINT fk_t_users_t_user_status FOREIGN KEY (status) REFERENCES public.t_user_status(status);</t>
  </si>
  <si>
    <t>Add Constraint DDL</t>
  </si>
  <si>
    <t xml:space="preserve">    ADD CONSTRAINT fk_t_event_log_t_event_target FOREIGN KEY (target_type) REFERENCES mc.t_event_target(id);</t>
  </si>
  <si>
    <t xml:space="preserve">    ADD CONSTRAINT fk_t_event_log_t_event_target FOREIGN KEY (target_type) REFERENCES pc.t_event_target(id);</t>
  </si>
  <si>
    <t>Add Constraint SQL</t>
  </si>
  <si>
    <t>Drop Constraint DDL</t>
  </si>
  <si>
    <r>
      <t>CREATE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TRIGGER</t>
    </r>
    <r>
      <rPr>
        <sz val="11"/>
        <color theme="1"/>
        <rFont val="Consolas"/>
        <family val="3"/>
      </rPr>
      <t xml:space="preserve"> trig_t_job_steps_after_delete AFTER </t>
    </r>
    <r>
      <rPr>
        <b/>
        <sz val="11"/>
        <color theme="1"/>
        <rFont val="Consolas"/>
        <family val="3"/>
      </rPr>
      <t>DELETE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ON</t>
    </r>
    <r>
      <rPr>
        <sz val="11"/>
        <color theme="1"/>
        <rFont val="Consolas"/>
        <family val="3"/>
      </rPr>
      <t xml:space="preserve"> sw.t_job_steps REFERENCING OLD </t>
    </r>
    <r>
      <rPr>
        <b/>
        <sz val="11"/>
        <color theme="1"/>
        <rFont val="Consolas"/>
        <family val="3"/>
      </rPr>
      <t>TABLE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deleted </t>
    </r>
    <r>
      <rPr>
        <b/>
        <sz val="11"/>
        <color theme="1"/>
        <rFont val="Consolas"/>
        <family val="3"/>
      </rPr>
      <t>FOR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EACH</t>
    </r>
    <r>
      <rPr>
        <sz val="11"/>
        <color theme="1"/>
        <rFont val="Consolas"/>
        <family val="3"/>
      </rPr>
      <t xml:space="preserve"> STATEMENT </t>
    </r>
    <r>
      <rPr>
        <b/>
        <sz val="11"/>
        <color theme="1"/>
        <rFont val="Consolas"/>
        <family val="3"/>
      </rPr>
      <t>EXECUTE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FUNCTION</t>
    </r>
    <r>
      <rPr>
        <sz val="11"/>
        <color theme="1"/>
        <rFont val="Consolas"/>
        <family val="3"/>
      </rPr>
      <t xml:space="preserve"> sw.trigfn_t_job_steps_after_delete</t>
    </r>
    <r>
      <rPr>
        <sz val="11"/>
        <color rgb="FF800000"/>
        <rFont val="Consolas"/>
        <family val="3"/>
      </rPr>
      <t>()</t>
    </r>
    <r>
      <rPr>
        <sz val="11"/>
        <color theme="1"/>
        <rFont val="Consolas"/>
        <family val="3"/>
      </rPr>
      <t>;</t>
    </r>
  </si>
  <si>
    <r>
      <t>DROP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TRIGGER</t>
    </r>
    <r>
      <rPr>
        <sz val="10"/>
        <color rgb="FF000000"/>
        <rFont val="Consolas"/>
        <family val="3"/>
      </rPr>
      <t xml:space="preserve"> trig_t_job_steps_after_delete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sw.t_job_steps</t>
    </r>
    <r>
      <rPr>
        <sz val="10"/>
        <color rgb="FFFF0000"/>
        <rFont val="Consolas"/>
        <family val="3"/>
      </rPr>
      <t>;</t>
    </r>
  </si>
  <si>
    <r>
      <t>UPDATE</t>
    </r>
    <r>
      <rPr>
        <sz val="10"/>
        <color rgb="FF000000"/>
        <rFont val="Consolas"/>
        <family val="3"/>
      </rPr>
      <t xml:space="preserve"> </t>
    </r>
    <r>
      <rPr>
        <sz val="10"/>
        <color rgb="FF8E00C6"/>
        <rFont val="Consolas"/>
        <family val="3"/>
      </rPr>
      <t>t_analysis_job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SET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job_state_id</t>
    </r>
    <r>
      <rPr>
        <sz val="10"/>
        <color rgb="FF000000"/>
        <rFont val="Consolas"/>
        <family val="3"/>
      </rPr>
      <t>=</t>
    </r>
    <r>
      <rPr>
        <sz val="10"/>
        <color rgb="FF0000FF"/>
        <rFont val="Consolas"/>
        <family val="3"/>
      </rPr>
      <t>8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WHERE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job_state_id</t>
    </r>
    <r>
      <rPr>
        <sz val="10"/>
        <color rgb="FF000000"/>
        <rFont val="Consolas"/>
        <family val="3"/>
      </rPr>
      <t>=</t>
    </r>
    <r>
      <rPr>
        <sz val="10"/>
        <color rgb="FF0000FF"/>
        <rFont val="Consolas"/>
        <family val="3"/>
      </rPr>
      <t>1</t>
    </r>
    <r>
      <rPr>
        <sz val="10"/>
        <color rgb="FFFF0000"/>
        <rFont val="Consolas"/>
        <family val="3"/>
      </rPr>
      <t>;</t>
    </r>
  </si>
  <si>
    <r>
      <t>DROP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TRIGGER</t>
    </r>
    <r>
      <rPr>
        <sz val="10"/>
        <color rgb="FF000000"/>
        <rFont val="Consolas"/>
        <family val="3"/>
      </rPr>
      <t xml:space="preserve"> trig_t_jobs_after_delete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sw.t_jobs</t>
    </r>
    <r>
      <rPr>
        <sz val="10"/>
        <color rgb="FFFF0000"/>
        <rFont val="Consolas"/>
        <family val="3"/>
      </rPr>
      <t>;</t>
    </r>
  </si>
  <si>
    <r>
      <t>CREATE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TRIGGER</t>
    </r>
    <r>
      <rPr>
        <sz val="11"/>
        <color theme="1"/>
        <rFont val="Consolas"/>
        <family val="3"/>
      </rPr>
      <t xml:space="preserve"> trig_t_jobs_after_delete AFTER </t>
    </r>
    <r>
      <rPr>
        <b/>
        <sz val="11"/>
        <color theme="1"/>
        <rFont val="Consolas"/>
        <family val="3"/>
      </rPr>
      <t>DELETE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ON</t>
    </r>
    <r>
      <rPr>
        <sz val="11"/>
        <color theme="1"/>
        <rFont val="Consolas"/>
        <family val="3"/>
      </rPr>
      <t xml:space="preserve"> sw.t_jobs REFERENCING OLD </t>
    </r>
    <r>
      <rPr>
        <b/>
        <sz val="11"/>
        <color theme="1"/>
        <rFont val="Consolas"/>
        <family val="3"/>
      </rPr>
      <t>TABLE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deleted </t>
    </r>
    <r>
      <rPr>
        <b/>
        <sz val="11"/>
        <color theme="1"/>
        <rFont val="Consolas"/>
        <family val="3"/>
      </rPr>
      <t>FOR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EACH</t>
    </r>
    <r>
      <rPr>
        <sz val="11"/>
        <color theme="1"/>
        <rFont val="Consolas"/>
        <family val="3"/>
      </rPr>
      <t xml:space="preserve"> STATEMENT </t>
    </r>
    <r>
      <rPr>
        <b/>
        <sz val="11"/>
        <color theme="1"/>
        <rFont val="Consolas"/>
        <family val="3"/>
      </rPr>
      <t>EXECUTE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FUNCTION</t>
    </r>
    <r>
      <rPr>
        <sz val="11"/>
        <color theme="1"/>
        <rFont val="Consolas"/>
        <family val="3"/>
      </rPr>
      <t xml:space="preserve"> sw.trigfn_t_jobs_after_delete</t>
    </r>
    <r>
      <rPr>
        <sz val="11"/>
        <color rgb="FF800000"/>
        <rFont val="Consolas"/>
        <family val="3"/>
      </rPr>
      <t>()</t>
    </r>
    <r>
      <rPr>
        <sz val="11"/>
        <color theme="1"/>
        <rFont val="Consolas"/>
        <family val="3"/>
      </rPr>
      <t>;</t>
    </r>
  </si>
  <si>
    <r>
      <t>DROP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TRIGGER</t>
    </r>
    <r>
      <rPr>
        <sz val="10"/>
        <color rgb="FF000000"/>
        <rFont val="Consolas"/>
        <family val="3"/>
      </rPr>
      <t xml:space="preserve"> trig_t_tasks_after_delete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cap.t_tasks</t>
    </r>
    <r>
      <rPr>
        <sz val="10"/>
        <color rgb="FFFF0000"/>
        <rFont val="Consolas"/>
        <family val="3"/>
      </rPr>
      <t>;</t>
    </r>
  </si>
  <si>
    <r>
      <t>DROP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TRIGGER</t>
    </r>
    <r>
      <rPr>
        <sz val="10"/>
        <color rgb="FF000000"/>
        <rFont val="Consolas"/>
        <family val="3"/>
      </rPr>
      <t xml:space="preserve"> trig_t_task_steps_after_delete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cap.t_task_steps</t>
    </r>
    <r>
      <rPr>
        <sz val="10"/>
        <color rgb="FFFF0000"/>
        <rFont val="Consolas"/>
        <family val="3"/>
      </rPr>
      <t>;</t>
    </r>
  </si>
  <si>
    <r>
      <t>CREATE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TRIGGER</t>
    </r>
    <r>
      <rPr>
        <sz val="11"/>
        <color theme="1"/>
        <rFont val="Consolas"/>
        <family val="3"/>
      </rPr>
      <t xml:space="preserve"> trig_t_tasks_after_delete AFTER </t>
    </r>
    <r>
      <rPr>
        <b/>
        <sz val="11"/>
        <color theme="1"/>
        <rFont val="Consolas"/>
        <family val="3"/>
      </rPr>
      <t>DELETE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ON</t>
    </r>
    <r>
      <rPr>
        <sz val="11"/>
        <color theme="1"/>
        <rFont val="Consolas"/>
        <family val="3"/>
      </rPr>
      <t xml:space="preserve"> cap.t_tasks REFERENCING OLD </t>
    </r>
    <r>
      <rPr>
        <b/>
        <sz val="11"/>
        <color theme="1"/>
        <rFont val="Consolas"/>
        <family val="3"/>
      </rPr>
      <t>TABLE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deleted </t>
    </r>
    <r>
      <rPr>
        <b/>
        <sz val="11"/>
        <color theme="1"/>
        <rFont val="Consolas"/>
        <family val="3"/>
      </rPr>
      <t>FOR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EACH</t>
    </r>
    <r>
      <rPr>
        <sz val="11"/>
        <color theme="1"/>
        <rFont val="Consolas"/>
        <family val="3"/>
      </rPr>
      <t xml:space="preserve"> STATEMENT </t>
    </r>
    <r>
      <rPr>
        <b/>
        <sz val="11"/>
        <color theme="1"/>
        <rFont val="Consolas"/>
        <family val="3"/>
      </rPr>
      <t>EXECUTE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FUNCTION</t>
    </r>
    <r>
      <rPr>
        <sz val="11"/>
        <color theme="1"/>
        <rFont val="Consolas"/>
        <family val="3"/>
      </rPr>
      <t xml:space="preserve"> cap.trigfn_t_tasks_after_delete</t>
    </r>
    <r>
      <rPr>
        <sz val="11"/>
        <color rgb="FF800000"/>
        <rFont val="Consolas"/>
        <family val="3"/>
      </rPr>
      <t>()</t>
    </r>
    <r>
      <rPr>
        <sz val="11"/>
        <color theme="1"/>
        <rFont val="Consolas"/>
        <family val="3"/>
      </rPr>
      <t>;</t>
    </r>
  </si>
  <si>
    <r>
      <t>CREATE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TRIGGER</t>
    </r>
    <r>
      <rPr>
        <sz val="11"/>
        <color theme="1"/>
        <rFont val="Consolas"/>
        <family val="3"/>
      </rPr>
      <t xml:space="preserve"> trig_t_task_steps_after_delete AFTER </t>
    </r>
    <r>
      <rPr>
        <b/>
        <sz val="11"/>
        <color theme="1"/>
        <rFont val="Consolas"/>
        <family val="3"/>
      </rPr>
      <t>DELETE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ON</t>
    </r>
    <r>
      <rPr>
        <sz val="11"/>
        <color theme="1"/>
        <rFont val="Consolas"/>
        <family val="3"/>
      </rPr>
      <t xml:space="preserve"> cap.t_task_steps REFERENCING OLD </t>
    </r>
    <r>
      <rPr>
        <b/>
        <sz val="11"/>
        <color theme="1"/>
        <rFont val="Consolas"/>
        <family val="3"/>
      </rPr>
      <t>TABLE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deleted </t>
    </r>
    <r>
      <rPr>
        <b/>
        <sz val="11"/>
        <color theme="1"/>
        <rFont val="Consolas"/>
        <family val="3"/>
      </rPr>
      <t>FOR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EACH</t>
    </r>
    <r>
      <rPr>
        <sz val="11"/>
        <color theme="1"/>
        <rFont val="Consolas"/>
        <family val="3"/>
      </rPr>
      <t xml:space="preserve"> STATEMENT </t>
    </r>
    <r>
      <rPr>
        <b/>
        <sz val="11"/>
        <color theme="1"/>
        <rFont val="Consolas"/>
        <family val="3"/>
      </rPr>
      <t>EXECUTE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FUNCTION</t>
    </r>
    <r>
      <rPr>
        <sz val="11"/>
        <color theme="1"/>
        <rFont val="Consolas"/>
        <family val="3"/>
      </rPr>
      <t xml:space="preserve"> cap.trigfn_t_task_steps_after_delete</t>
    </r>
    <r>
      <rPr>
        <sz val="11"/>
        <color rgb="FF800000"/>
        <rFont val="Consolas"/>
        <family val="3"/>
      </rPr>
      <t>()</t>
    </r>
    <r>
      <rPr>
        <sz val="11"/>
        <color theme="1"/>
        <rFont val="Consolas"/>
        <family val="3"/>
      </rPr>
      <t>;</t>
    </r>
  </si>
  <si>
    <t>t_analysis_job_processor_group_associations</t>
  </si>
  <si>
    <t>fk_t_analysis_job_processor_group_associations_t_analysis_job1</t>
  </si>
  <si>
    <t>fk_t_analysis_job_processor_group_associations_t_analysis_job2</t>
  </si>
  <si>
    <t xml:space="preserve">    ADD CONSTRAINT fk_t_analysis_job_processor_group_associations_t_analysis_job1 FOREIGN KEY (job) REFERENCES public.t_analysis_job(job) ON DELETE CASCADE;</t>
  </si>
  <si>
    <t xml:space="preserve">    ADD CONSTRAINT fk_t_analysis_job_processor_group_associations_t_analysis_job2 FOREIGN KEY (group_id) REFERENCES public.t_analysis_job_processor_group(group_id);</t>
  </si>
  <si>
    <t>Note: This list is longer than it should be due to a bug (now fixed) finding primary key columns on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</si>
</sst>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sz val="10"/>
      <color rgb="FF000000"/>
      <name val="Consolas"/>
      <family val="3"/>
    </font>
    <font>
      <b/>
      <sz val="10"/>
      <color rgb="FF800000"/>
      <name val="Consolas"/>
      <family val="3"/>
    </font>
    <font>
      <sz val="10"/>
      <color rgb="FF006464"/>
      <name val="Consolas"/>
      <family val="3"/>
    </font>
    <font>
      <sz val="10"/>
      <color rgb="FF8E00C6"/>
      <name val="Consolas"/>
      <family val="3"/>
    </font>
    <font>
      <sz val="10"/>
      <color rgb="FFFF0000"/>
      <name val="Consolas"/>
      <family val="3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color rgb="FF0000FF"/>
      <name val="Consolas"/>
      <family val="3"/>
    </font>
    <font>
      <sz val="11"/>
      <color rgb="FF800000"/>
      <name val="Consolas"/>
      <family val="3"/>
    </font>
    <font>
      <sz val="10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4295-AD43-4338-A138-FB85FDAC5600}">
  <dimension ref="A1:D61"/>
  <sheetViews>
    <sheetView workbookViewId="0">
      <pane ySplit="1" topLeftCell="A48" activePane="bottomLeft" state="frozen"/>
      <selection pane="bottomLeft" activeCell="D61" sqref="D61"/>
    </sheetView>
  </sheetViews>
  <sheetFormatPr defaultRowHeight="14.25" x14ac:dyDescent="0.45"/>
  <cols>
    <col min="2" max="2" width="66" bestFit="1" customWidth="1"/>
  </cols>
  <sheetData>
    <row r="1" spans="1:4" x14ac:dyDescent="0.45">
      <c r="A1" t="s">
        <v>56</v>
      </c>
    </row>
    <row r="2" spans="1:4" x14ac:dyDescent="0.45">
      <c r="A2" t="s">
        <v>0</v>
      </c>
      <c r="B2" t="str">
        <f>"constraint_name like 'fk_%" &amp; A2 &amp; "' OR"</f>
        <v>constraint_name like 'fk_%t_yes_no' OR</v>
      </c>
      <c r="D2" s="4" t="s">
        <v>190</v>
      </c>
    </row>
    <row r="3" spans="1:4" x14ac:dyDescent="0.45">
      <c r="A3" t="s">
        <v>1</v>
      </c>
      <c r="B3" t="str">
        <f t="shared" ref="B3:B57" si="0">"constraint_name like 'fk_%" &amp; A3 &amp; "' OR"</f>
        <v>constraint_name like 'fk_%t_user_status' OR</v>
      </c>
      <c r="D3" s="4" t="s">
        <v>191</v>
      </c>
    </row>
    <row r="4" spans="1:4" x14ac:dyDescent="0.45">
      <c r="A4" t="s">
        <v>2</v>
      </c>
      <c r="B4" t="str">
        <f t="shared" si="0"/>
        <v>constraint_name like 'fk_%t_param_file_types' OR</v>
      </c>
      <c r="D4" s="4" t="s">
        <v>192</v>
      </c>
    </row>
    <row r="5" spans="1:4" x14ac:dyDescent="0.45">
      <c r="A5" t="s">
        <v>3</v>
      </c>
      <c r="B5" t="str">
        <f t="shared" si="0"/>
        <v>constraint_name like 'fk_%t_analysis_tool' OR</v>
      </c>
      <c r="D5" s="5" t="s">
        <v>193</v>
      </c>
    </row>
    <row r="6" spans="1:4" x14ac:dyDescent="0.45">
      <c r="A6" t="s">
        <v>4</v>
      </c>
      <c r="B6" t="str">
        <f t="shared" si="0"/>
        <v>constraint_name like 'fk_%t_archive_path_function' OR</v>
      </c>
      <c r="D6" s="5" t="s">
        <v>194</v>
      </c>
    </row>
    <row r="7" spans="1:4" x14ac:dyDescent="0.45">
      <c r="A7" t="s">
        <v>5</v>
      </c>
      <c r="B7" t="str">
        <f t="shared" si="0"/>
        <v>constraint_name like 'fk_%tset_archive_update_state_name' OR</v>
      </c>
      <c r="D7" s="5" t="s">
        <v>195</v>
      </c>
    </row>
    <row r="8" spans="1:4" x14ac:dyDescent="0.45">
      <c r="A8" t="s">
        <v>6</v>
      </c>
      <c r="B8" t="str">
        <f t="shared" si="0"/>
        <v>constraint_name like 'fk_%t_release_restrictions' OR</v>
      </c>
      <c r="D8" s="5" t="s">
        <v>196</v>
      </c>
    </row>
    <row r="9" spans="1:4" x14ac:dyDescent="0.45">
      <c r="A9" t="s">
        <v>7</v>
      </c>
      <c r="B9" t="str">
        <f t="shared" si="0"/>
        <v>constraint_name like 'fk_%t_charge_code_activation_state' OR</v>
      </c>
      <c r="D9" s="5" t="s">
        <v>197</v>
      </c>
    </row>
    <row r="10" spans="1:4" x14ac:dyDescent="0.45">
      <c r="A10" t="s">
        <v>8</v>
      </c>
      <c r="B10" t="str">
        <f t="shared" si="0"/>
        <v>constraint_name like 'fk_%t_charge_code_state' OR</v>
      </c>
      <c r="D10" s="5" t="s">
        <v>198</v>
      </c>
    </row>
    <row r="11" spans="1:4" x14ac:dyDescent="0.45">
      <c r="A11" t="s">
        <v>9</v>
      </c>
      <c r="B11" t="str">
        <f t="shared" si="0"/>
        <v>constraint_name like 'fk_%t_default_psm_job_types' OR</v>
      </c>
      <c r="D11" s="5" t="s">
        <v>199</v>
      </c>
    </row>
    <row r="12" spans="1:4" x14ac:dyDescent="0.45">
      <c r="A12" t="s">
        <v>10</v>
      </c>
      <c r="B12" t="str">
        <f t="shared" si="0"/>
        <v>constraint_name like 'fk_%t_email_alert_state' OR</v>
      </c>
      <c r="D12" s="5" t="s">
        <v>200</v>
      </c>
    </row>
    <row r="13" spans="1:4" x14ac:dyDescent="0.45">
      <c r="A13" t="s">
        <v>11</v>
      </c>
      <c r="B13" t="str">
        <f t="shared" si="0"/>
        <v>constraint_name like 'fk_%t_emsl_instruments' OR</v>
      </c>
      <c r="D13" s="5" t="s">
        <v>201</v>
      </c>
    </row>
    <row r="14" spans="1:4" x14ac:dyDescent="0.45">
      <c r="A14" t="s">
        <v>12</v>
      </c>
      <c r="B14" t="str">
        <f t="shared" si="0"/>
        <v>constraint_name like 'fk_%t_eus_proposal_state_name' OR</v>
      </c>
      <c r="D14" s="5" t="s">
        <v>202</v>
      </c>
    </row>
    <row r="15" spans="1:4" x14ac:dyDescent="0.45">
      <c r="A15" t="s">
        <v>13</v>
      </c>
      <c r="B15" t="str">
        <f t="shared" si="0"/>
        <v>constraint_name like 'fk_%t_eus_proposals' OR</v>
      </c>
      <c r="D15" s="5" t="s">
        <v>203</v>
      </c>
    </row>
    <row r="16" spans="1:4" x14ac:dyDescent="0.45">
      <c r="A16" t="s">
        <v>14</v>
      </c>
      <c r="B16" t="str">
        <f t="shared" si="0"/>
        <v>constraint_name like 'fk_%t_eus_site_status' OR</v>
      </c>
      <c r="D16" s="5" t="s">
        <v>204</v>
      </c>
    </row>
    <row r="17" spans="1:4" x14ac:dyDescent="0.45">
      <c r="A17" t="s">
        <v>15</v>
      </c>
      <c r="B17" t="str">
        <f t="shared" si="0"/>
        <v>constraint_name like 'fk_%t_eus_users' OR</v>
      </c>
      <c r="D17" s="5" t="s">
        <v>205</v>
      </c>
    </row>
    <row r="18" spans="1:4" x14ac:dyDescent="0.45">
      <c r="A18" t="s">
        <v>16</v>
      </c>
      <c r="B18" t="str">
        <f t="shared" si="0"/>
        <v>constraint_name like 'fk_%t_event_target' OR</v>
      </c>
      <c r="D18" s="5" t="s">
        <v>206</v>
      </c>
    </row>
    <row r="19" spans="1:4" x14ac:dyDescent="0.45">
      <c r="A19" t="s">
        <v>17</v>
      </c>
      <c r="B19" t="str">
        <f t="shared" si="0"/>
        <v>constraint_name like 'fk_%t_internal_std_components' OR</v>
      </c>
      <c r="D19" s="5" t="s">
        <v>207</v>
      </c>
    </row>
    <row r="20" spans="1:4" x14ac:dyDescent="0.45">
      <c r="A20" t="s">
        <v>18</v>
      </c>
      <c r="B20" t="str">
        <f t="shared" si="0"/>
        <v>constraint_name like 'fk_%t_internal_std_parent_mixes' OR</v>
      </c>
      <c r="D20" s="5" t="s">
        <v>208</v>
      </c>
    </row>
    <row r="21" spans="1:4" x14ac:dyDescent="0.45">
      <c r="A21" t="s">
        <v>19</v>
      </c>
      <c r="B21" t="str">
        <f t="shared" si="0"/>
        <v>constraint_name like 'fk_%t_experiment_plex_channel_type_name' OR</v>
      </c>
      <c r="D21" s="5" t="s">
        <v>209</v>
      </c>
    </row>
    <row r="22" spans="1:4" x14ac:dyDescent="0.45">
      <c r="A22" t="s">
        <v>20</v>
      </c>
      <c r="B22" t="str">
        <f t="shared" si="0"/>
        <v>constraint_name like 'fk_%t_sample_labelling' OR</v>
      </c>
      <c r="D22" s="5" t="s">
        <v>210</v>
      </c>
    </row>
    <row r="23" spans="1:4" x14ac:dyDescent="0.45">
      <c r="A23" t="s">
        <v>21</v>
      </c>
      <c r="B23" t="str">
        <f t="shared" si="0"/>
        <v>constraint_name like 'fk_%t_sample_prep_request_state_name' OR</v>
      </c>
      <c r="D23" s="5" t="s">
        <v>211</v>
      </c>
    </row>
    <row r="24" spans="1:4" x14ac:dyDescent="0.45">
      <c r="A24" t="s">
        <v>22</v>
      </c>
      <c r="B24" t="str">
        <f t="shared" si="0"/>
        <v>constraint_name like 'fk_%t_sample_prep_request_type_name' OR</v>
      </c>
      <c r="D24" s="5" t="s">
        <v>212</v>
      </c>
    </row>
    <row r="25" spans="1:4" x14ac:dyDescent="0.45">
      <c r="A25" t="s">
        <v>23</v>
      </c>
      <c r="B25" t="str">
        <f t="shared" si="0"/>
        <v>constraint_name like 'fk_%t_tissue_source' OR</v>
      </c>
      <c r="D25" s="5" t="s">
        <v>213</v>
      </c>
    </row>
    <row r="26" spans="1:4" x14ac:dyDescent="0.45">
      <c r="A26" t="s">
        <v>24</v>
      </c>
      <c r="B26" t="str">
        <f t="shared" si="0"/>
        <v>constraint_name like 'fk_%t_myemsl_state' OR</v>
      </c>
      <c r="D26" s="5" t="s">
        <v>214</v>
      </c>
    </row>
    <row r="27" spans="1:4" x14ac:dyDescent="0.45">
      <c r="A27" t="s">
        <v>25</v>
      </c>
      <c r="B27" t="str">
        <f t="shared" si="0"/>
        <v>constraint_name like 'fk_%t_filter_set_criteria_groups' OR</v>
      </c>
      <c r="D27" s="5" t="s">
        <v>215</v>
      </c>
    </row>
    <row r="28" spans="1:4" x14ac:dyDescent="0.45">
      <c r="A28" t="s">
        <v>26</v>
      </c>
      <c r="B28" t="str">
        <f t="shared" si="0"/>
        <v>constraint_name like 'fk_%t_storage_path_hosts' OR</v>
      </c>
      <c r="D28" s="5" t="s">
        <v>216</v>
      </c>
    </row>
    <row r="29" spans="1:4" x14ac:dyDescent="0.45">
      <c r="A29" t="s">
        <v>27</v>
      </c>
      <c r="B29" t="str">
        <f t="shared" si="0"/>
        <v>constraint_name like 'fk_%tset_type_name' OR</v>
      </c>
      <c r="D29" s="5" t="s">
        <v>217</v>
      </c>
    </row>
    <row r="30" spans="1:4" x14ac:dyDescent="0.45">
      <c r="A30" t="s">
        <v>28</v>
      </c>
      <c r="B30" t="str">
        <f t="shared" si="0"/>
        <v>constraint_name like 'fk_%t_instrument_class' OR</v>
      </c>
      <c r="D30" s="5" t="s">
        <v>218</v>
      </c>
    </row>
    <row r="31" spans="1:4" x14ac:dyDescent="0.45">
      <c r="A31" t="s">
        <v>29</v>
      </c>
      <c r="B31" t="str">
        <f t="shared" si="0"/>
        <v>constraint_name like 'fk_%t_instrument_group_allocation_tag' OR</v>
      </c>
      <c r="D31" s="5" t="s">
        <v>219</v>
      </c>
    </row>
    <row r="32" spans="1:4" x14ac:dyDescent="0.45">
      <c r="A32" t="s">
        <v>30</v>
      </c>
      <c r="B32" t="str">
        <f t="shared" si="0"/>
        <v>constraint_name like 'fk_%t_instrument_group' OR</v>
      </c>
      <c r="D32" s="5" t="s">
        <v>220</v>
      </c>
    </row>
    <row r="33" spans="1:4" x14ac:dyDescent="0.45">
      <c r="A33" t="s">
        <v>31</v>
      </c>
      <c r="B33" t="str">
        <f t="shared" si="0"/>
        <v>constraint_name like 'fk_%t_instrument_ops_role' OR</v>
      </c>
      <c r="D33" s="5" t="s">
        <v>221</v>
      </c>
    </row>
    <row r="34" spans="1:4" x14ac:dyDescent="0.45">
      <c r="A34" t="s">
        <v>32</v>
      </c>
      <c r="B34" t="str">
        <f t="shared" si="0"/>
        <v>constraint_name like 'fk_%t_instrument_name' OR</v>
      </c>
      <c r="D34" s="5" t="s">
        <v>222</v>
      </c>
    </row>
    <row r="35" spans="1:4" x14ac:dyDescent="0.45">
      <c r="A35" t="s">
        <v>33</v>
      </c>
      <c r="B35" t="str">
        <f t="shared" si="0"/>
        <v>constraint_name like 'fk_%tset_archive_state_name' OR</v>
      </c>
      <c r="D35" s="5" t="s">
        <v>223</v>
      </c>
    </row>
    <row r="36" spans="1:4" x14ac:dyDescent="0.45">
      <c r="A36" t="s">
        <v>34</v>
      </c>
      <c r="B36" t="str">
        <f t="shared" si="0"/>
        <v>constraint_name like 'fk_%tset_rating_name' OR</v>
      </c>
      <c r="D36" s="5" t="s">
        <v>224</v>
      </c>
    </row>
    <row r="37" spans="1:4" x14ac:dyDescent="0.45">
      <c r="A37" t="s">
        <v>35</v>
      </c>
      <c r="B37" t="str">
        <f t="shared" si="0"/>
        <v>constraint_name like 'fk_%tset_state_name' OR</v>
      </c>
      <c r="D37" s="5" t="s">
        <v>225</v>
      </c>
    </row>
    <row r="38" spans="1:4" x14ac:dyDescent="0.45">
      <c r="A38" t="s">
        <v>36</v>
      </c>
      <c r="B38" t="str">
        <f t="shared" si="0"/>
        <v>constraint_name like 'fk_%t_lc_cart_state_name' OR</v>
      </c>
      <c r="D38" s="5" t="s">
        <v>226</v>
      </c>
    </row>
    <row r="39" spans="1:4" x14ac:dyDescent="0.45">
      <c r="A39" t="s">
        <v>37</v>
      </c>
      <c r="B39" t="str">
        <f t="shared" si="0"/>
        <v>constraint_name like 'fk_%t_lc_column_state_name' OR</v>
      </c>
      <c r="D39" s="5" t="s">
        <v>227</v>
      </c>
    </row>
    <row r="40" spans="1:4" x14ac:dyDescent="0.45">
      <c r="A40" t="s">
        <v>38</v>
      </c>
      <c r="B40" t="str">
        <f t="shared" si="0"/>
        <v>constraint_name like 'fk_%t_separation_group' OR</v>
      </c>
      <c r="D40" s="5" t="s">
        <v>228</v>
      </c>
    </row>
    <row r="41" spans="1:4" x14ac:dyDescent="0.45">
      <c r="A41" t="s">
        <v>39</v>
      </c>
      <c r="B41" t="str">
        <f t="shared" si="0"/>
        <v>constraint_name like 'fk_%t_secondary_sep_sample_type' OR</v>
      </c>
      <c r="D41" s="5" t="s">
        <v>229</v>
      </c>
    </row>
    <row r="42" spans="1:4" x14ac:dyDescent="0.45">
      <c r="A42" t="s">
        <v>40</v>
      </c>
      <c r="B42" t="str">
        <f t="shared" si="0"/>
        <v>constraint_name like 'fk_%t_secondary_sep' OR</v>
      </c>
      <c r="D42" s="5" t="s">
        <v>230</v>
      </c>
    </row>
    <row r="43" spans="1:4" x14ac:dyDescent="0.45">
      <c r="A43" t="s">
        <v>41</v>
      </c>
      <c r="B43" t="str">
        <f t="shared" si="0"/>
        <v>constraint_name like 'fk_%t_modification_types' OR</v>
      </c>
      <c r="D43" s="5" t="s">
        <v>231</v>
      </c>
    </row>
    <row r="44" spans="1:4" x14ac:dyDescent="0.45">
      <c r="A44" t="s">
        <v>42</v>
      </c>
      <c r="B44" t="str">
        <f t="shared" si="0"/>
        <v>constraint_name like 'fk_%t_notification_entity_type' OR</v>
      </c>
      <c r="D44" s="5" t="s">
        <v>232</v>
      </c>
    </row>
    <row r="45" spans="1:4" x14ac:dyDescent="0.45">
      <c r="A45" t="s">
        <v>43</v>
      </c>
      <c r="B45" t="str">
        <f t="shared" si="0"/>
        <v>constraint_name like 'fk_%t_notification_event_type' OR</v>
      </c>
      <c r="D45" s="5" t="s">
        <v>233</v>
      </c>
    </row>
    <row r="46" spans="1:4" x14ac:dyDescent="0.45">
      <c r="A46" t="s">
        <v>44</v>
      </c>
      <c r="B46" t="str">
        <f t="shared" si="0"/>
        <v>constraint_name like 'fk_%t_predefined_analysis_scheduling_queue_state' OR</v>
      </c>
      <c r="D46" s="5" t="s">
        <v>234</v>
      </c>
    </row>
    <row r="47" spans="1:4" x14ac:dyDescent="0.45">
      <c r="A47" t="s">
        <v>45</v>
      </c>
      <c r="B47" t="str">
        <f t="shared" si="0"/>
        <v>constraint_name like 'fk_%t_project_usage_types' OR</v>
      </c>
      <c r="D47" s="5" t="s">
        <v>235</v>
      </c>
    </row>
    <row r="48" spans="1:4" x14ac:dyDescent="0.45">
      <c r="A48" t="s">
        <v>46</v>
      </c>
      <c r="B48" t="str">
        <f t="shared" si="0"/>
        <v>constraint_name like 'fk_%t_requested_run_queue_state' OR</v>
      </c>
      <c r="D48" s="5" t="s">
        <v>236</v>
      </c>
    </row>
    <row r="49" spans="1:4" x14ac:dyDescent="0.45">
      <c r="A49" t="s">
        <v>47</v>
      </c>
      <c r="B49" t="str">
        <f t="shared" si="0"/>
        <v>constraint_name like 'fk_%t_seq_local_symbols_list' OR</v>
      </c>
      <c r="D49" s="5" t="s">
        <v>237</v>
      </c>
    </row>
    <row r="50" spans="1:4" x14ac:dyDescent="0.45">
      <c r="A50" t="s">
        <v>48</v>
      </c>
      <c r="B50" t="str">
        <f t="shared" si="0"/>
        <v>constraint_name like 'fk_%t_analysis_request_state_name' OR</v>
      </c>
      <c r="D50" s="5" t="s">
        <v>238</v>
      </c>
    </row>
    <row r="51" spans="1:4" x14ac:dyDescent="0.45">
      <c r="A51" t="s">
        <v>49</v>
      </c>
      <c r="B51" t="str">
        <f t="shared" si="0"/>
        <v>constraint_name like 'fk_%t_analysis_request_type_name' OR</v>
      </c>
      <c r="D51" s="5" t="s">
        <v>239</v>
      </c>
    </row>
    <row r="52" spans="1:4" x14ac:dyDescent="0.45">
      <c r="A52" t="s">
        <v>50</v>
      </c>
      <c r="B52" t="str">
        <f t="shared" si="0"/>
        <v>constraint_name like 'fk_%t_analysis_job_state' OR</v>
      </c>
      <c r="D52" s="5" t="s">
        <v>240</v>
      </c>
    </row>
    <row r="53" spans="1:4" x14ac:dyDescent="0.45">
      <c r="A53" t="s">
        <v>51</v>
      </c>
      <c r="B53" t="str">
        <f t="shared" si="0"/>
        <v>constraint_name like 'fk_%t_analysis_job_request_state' OR</v>
      </c>
      <c r="D53" s="5" t="s">
        <v>241</v>
      </c>
    </row>
    <row r="54" spans="1:4" x14ac:dyDescent="0.45">
      <c r="A54" t="s">
        <v>52</v>
      </c>
      <c r="B54" t="str">
        <f t="shared" si="0"/>
        <v>constraint_name like 'fk_%t_analysis_job' OR</v>
      </c>
      <c r="D54" s="5" t="s">
        <v>242</v>
      </c>
    </row>
    <row r="55" spans="1:4" x14ac:dyDescent="0.45">
      <c r="A55" t="s">
        <v>53</v>
      </c>
      <c r="B55" t="str">
        <f t="shared" si="0"/>
        <v>constraint_name like 'fk_%tset_svc_center_report_state' OR</v>
      </c>
      <c r="D55" s="5" t="s">
        <v>243</v>
      </c>
    </row>
    <row r="56" spans="1:4" x14ac:dyDescent="0.45">
      <c r="A56" t="s">
        <v>54</v>
      </c>
      <c r="B56" t="str">
        <f t="shared" si="0"/>
        <v>constraint_name like 'fk_%tset_create_queue_state' OR</v>
      </c>
      <c r="D56" s="5" t="s">
        <v>244</v>
      </c>
    </row>
    <row r="57" spans="1:4" x14ac:dyDescent="0.45">
      <c r="A57" t="s">
        <v>55</v>
      </c>
      <c r="B57" t="str">
        <f t="shared" si="0"/>
        <v>constraint_name like 'fk_%t_instrument_state_name' OR</v>
      </c>
      <c r="D57" s="5" t="s">
        <v>245</v>
      </c>
    </row>
    <row r="58" spans="1:4" x14ac:dyDescent="0.45">
      <c r="D58" s="5" t="s">
        <v>246</v>
      </c>
    </row>
    <row r="59" spans="1:4" x14ac:dyDescent="0.45">
      <c r="D59" s="5" t="s">
        <v>247</v>
      </c>
    </row>
    <row r="60" spans="1:4" x14ac:dyDescent="0.45">
      <c r="D60" s="5" t="s">
        <v>248</v>
      </c>
    </row>
    <row r="61" spans="1:4" x14ac:dyDescent="0.45">
      <c r="D61" s="3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F70E-DDAD-44C9-A201-3454CD48EED6}">
  <dimension ref="A1:I97"/>
  <sheetViews>
    <sheetView tabSelected="1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12.33203125" bestFit="1" customWidth="1"/>
    <col min="2" max="2" width="36.19921875" bestFit="1" customWidth="1"/>
    <col min="3" max="3" width="56.33203125" bestFit="1" customWidth="1"/>
    <col min="8" max="8" width="51" customWidth="1"/>
    <col min="9" max="9" width="52.46484375" customWidth="1"/>
  </cols>
  <sheetData>
    <row r="1" spans="1:9" x14ac:dyDescent="0.45">
      <c r="A1" t="s">
        <v>354</v>
      </c>
    </row>
    <row r="3" spans="1:9" x14ac:dyDescent="0.45">
      <c r="A3" t="s">
        <v>57</v>
      </c>
      <c r="B3" t="s">
        <v>58</v>
      </c>
      <c r="C3" t="s">
        <v>59</v>
      </c>
      <c r="D3" t="s">
        <v>250</v>
      </c>
      <c r="E3" t="s">
        <v>251</v>
      </c>
      <c r="G3" t="s">
        <v>338</v>
      </c>
      <c r="H3" t="s">
        <v>339</v>
      </c>
      <c r="I3" t="s">
        <v>335</v>
      </c>
    </row>
    <row r="4" spans="1:9" x14ac:dyDescent="0.45">
      <c r="A4" t="s">
        <v>60</v>
      </c>
      <c r="B4" t="s">
        <v>65</v>
      </c>
      <c r="C4" t="s">
        <v>66</v>
      </c>
      <c r="D4" t="str">
        <f t="shared" ref="D4:D41" si="0">"f:\Documents\Projects\DataMining\Database_Schema\DMS_PgSQL\DMS\" &amp; B4 &amp; ".sql"</f>
        <v>f:\Documents\Projects\DataMining\Database_Schema\DMS_PgSQL\DMS\t_analysis_job_processor_tools.sql</v>
      </c>
      <c r="E4" t="str">
        <f>C4 &amp; "|"</f>
        <v>fk_t_analysis_job_processor_tools_t_analysis_tool|</v>
      </c>
      <c r="F4">
        <f t="shared" ref="F4:F35" si="1">FIND(C4,G4)</f>
        <v>20</v>
      </c>
      <c r="G4" t="s">
        <v>258</v>
      </c>
      <c r="H4" t="str">
        <f>"ALTER TABLE " &amp; A4 &amp; "." &amp; B4 &amp; " DROP CONSTRAINT " &amp; C4 &amp; ";"</f>
        <v>ALTER TABLE public.t_analysis_job_processor_tools DROP CONSTRAINT fk_t_analysis_job_processor_tools_t_analysis_tool;</v>
      </c>
      <c r="I4" t="str">
        <f>"ALTER TABLE " &amp; A4 &amp; "." &amp; B4 &amp; " " &amp; G4</f>
        <v>ALTER TABLE public.t_analysis_job_processor_tools     ADD CONSTRAINT fk_t_analysis_job_processor_tools_t_analysis_tool FOREIGN KEY (tool_id) REFERENCES public.t_analysis_tool(analysis_tool_id);</v>
      </c>
    </row>
    <row r="5" spans="1:9" x14ac:dyDescent="0.45">
      <c r="A5" t="s">
        <v>60</v>
      </c>
      <c r="B5" t="s">
        <v>67</v>
      </c>
      <c r="C5" t="s">
        <v>68</v>
      </c>
      <c r="D5" t="str">
        <f t="shared" si="0"/>
        <v>f:\Documents\Projects\DataMining\Database_Schema\DMS_PgSQL\DMS\t_analysis_job_request.sql</v>
      </c>
      <c r="E5" t="str">
        <f>E4 &amp; C5 &amp; "|"</f>
        <v>fk_t_analysis_job_processor_tools_t_analysis_tool|fk_t_analysis_job_request_t_analysis_job_request_state|</v>
      </c>
      <c r="F5">
        <f t="shared" si="1"/>
        <v>20</v>
      </c>
      <c r="G5" t="s">
        <v>259</v>
      </c>
      <c r="H5" t="str">
        <f t="shared" ref="H5:H68" si="2">"ALTER TABLE " &amp; A5 &amp; "." &amp; B5 &amp; " DROP CONSTRAINT " &amp; C5 &amp; ";"</f>
        <v>ALTER TABLE public.t_analysis_job_request DROP CONSTRAINT fk_t_analysis_job_request_t_analysis_job_request_state;</v>
      </c>
      <c r="I5" t="str">
        <f t="shared" ref="I5:I68" si="3">"ALTER TABLE " &amp; A5 &amp; "." &amp; B5 &amp; " " &amp; G5</f>
        <v>ALTER TABLE public.t_analysis_job_request     ADD CONSTRAINT fk_t_analysis_job_request_t_analysis_job_request_state FOREIGN KEY (request_state_id) REFERENCES public.t_analysis_job_request_state(request_state_id);</v>
      </c>
    </row>
    <row r="6" spans="1:9" x14ac:dyDescent="0.45">
      <c r="A6" t="s">
        <v>60</v>
      </c>
      <c r="B6" t="s">
        <v>69</v>
      </c>
      <c r="C6" t="s">
        <v>70</v>
      </c>
      <c r="D6" t="str">
        <f t="shared" si="0"/>
        <v>f:\Documents\Projects\DataMining\Database_Schema\DMS_PgSQL\DMS\t_analysis_job_status_history.sql</v>
      </c>
      <c r="E6" t="str">
        <f t="shared" ref="E6:E37" si="4">E5&amp;C6 &amp; "|"</f>
        <v>fk_t_analysis_job_processor_tools_t_analysis_tool|fk_t_analysis_job_request_t_analysis_job_request_state|fk_t_analysis_job_status_history_t_analysis_job_state|</v>
      </c>
      <c r="F6">
        <f t="shared" si="1"/>
        <v>20</v>
      </c>
      <c r="G6" t="s">
        <v>260</v>
      </c>
      <c r="H6" t="str">
        <f t="shared" si="2"/>
        <v>ALTER TABLE public.t_analysis_job_status_history DROP CONSTRAINT fk_t_analysis_job_status_history_t_analysis_job_state;</v>
      </c>
      <c r="I6" t="str">
        <f t="shared" si="3"/>
        <v>ALTER TABLE public.t_analysis_job_status_history     ADD CONSTRAINT fk_t_analysis_job_status_history_t_analysis_job_state FOREIGN KEY (state_id) REFERENCES public.t_analysis_job_state(job_state_id);</v>
      </c>
    </row>
    <row r="7" spans="1:9" x14ac:dyDescent="0.45">
      <c r="A7" t="s">
        <v>60</v>
      </c>
      <c r="B7" t="s">
        <v>69</v>
      </c>
      <c r="C7" t="s">
        <v>71</v>
      </c>
      <c r="D7" t="str">
        <f t="shared" si="0"/>
        <v>f:\Documents\Projects\DataMining\Database_Schema\DMS_PgSQL\DMS\t_analysis_job_status_history.sql</v>
      </c>
      <c r="E7" t="str">
        <f t="shared" si="4"/>
        <v>fk_t_analysis_job_processor_tools_t_analysis_tool|fk_t_analysis_job_request_t_analysis_job_request_state|fk_t_analysis_job_status_history_t_analysis_job_state|fk_t_analysis_job_status_history_t_analysis_tool|</v>
      </c>
      <c r="F7">
        <f t="shared" si="1"/>
        <v>20</v>
      </c>
      <c r="G7" t="s">
        <v>261</v>
      </c>
      <c r="H7" t="str">
        <f t="shared" si="2"/>
        <v>ALTER TABLE public.t_analysis_job_status_history DROP CONSTRAINT fk_t_analysis_job_status_history_t_analysis_tool;</v>
      </c>
      <c r="I7" t="str">
        <f t="shared" si="3"/>
        <v>ALTER TABLE public.t_analysis_job_status_history     ADD CONSTRAINT fk_t_analysis_job_status_history_t_analysis_tool FOREIGN KEY (tool_id) REFERENCES public.t_analysis_tool(analysis_tool_id);</v>
      </c>
    </row>
    <row r="8" spans="1:9" x14ac:dyDescent="0.45">
      <c r="A8" t="s">
        <v>60</v>
      </c>
      <c r="B8" t="s">
        <v>52</v>
      </c>
      <c r="C8" t="s">
        <v>63</v>
      </c>
      <c r="D8" t="str">
        <f t="shared" si="0"/>
        <v>f:\Documents\Projects\DataMining\Database_Schema\DMS_PgSQL\DMS\t_analysis_job.sql</v>
      </c>
      <c r="E8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</v>
      </c>
      <c r="F8">
        <f t="shared" si="1"/>
        <v>20</v>
      </c>
      <c r="G8" t="s">
        <v>254</v>
      </c>
      <c r="H8" t="str">
        <f t="shared" si="2"/>
        <v>ALTER TABLE public.t_analysis_job DROP CONSTRAINT fk_t_analysis_job_t_analysis_job_state;</v>
      </c>
      <c r="I8" t="str">
        <f t="shared" si="3"/>
        <v>ALTER TABLE public.t_analysis_job     ADD CONSTRAINT fk_t_analysis_job_t_analysis_job_state FOREIGN KEY (job_state_id) REFERENCES public.t_analysis_job_state(job_state_id);</v>
      </c>
    </row>
    <row r="9" spans="1:9" x14ac:dyDescent="0.45">
      <c r="A9" t="s">
        <v>60</v>
      </c>
      <c r="B9" t="s">
        <v>52</v>
      </c>
      <c r="C9" t="s">
        <v>64</v>
      </c>
      <c r="D9" t="str">
        <f t="shared" si="0"/>
        <v>f:\Documents\Projects\DataMining\Database_Schema\DMS_PgSQL\DMS\t_analysis_job.sql</v>
      </c>
      <c r="E9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</v>
      </c>
      <c r="F9">
        <f t="shared" si="1"/>
        <v>20</v>
      </c>
      <c r="G9" t="s">
        <v>255</v>
      </c>
      <c r="H9" t="str">
        <f t="shared" si="2"/>
        <v>ALTER TABLE public.t_analysis_job DROP CONSTRAINT fk_t_analysis_job_t_analysis_tool;</v>
      </c>
      <c r="I9" t="str">
        <f t="shared" si="3"/>
        <v>ALTER TABLE public.t_analysis_job     ADD CONSTRAINT fk_t_analysis_job_t_analysis_tool FOREIGN KEY (analysis_tool_id) REFERENCES public.t_analysis_tool(analysis_tool_id);</v>
      </c>
    </row>
    <row r="10" spans="1:9" x14ac:dyDescent="0.45">
      <c r="A10" t="s">
        <v>60</v>
      </c>
      <c r="B10" t="s">
        <v>52</v>
      </c>
      <c r="C10" t="s">
        <v>61</v>
      </c>
      <c r="D10" t="str">
        <f t="shared" si="0"/>
        <v>f:\Documents\Projects\DataMining\Database_Schema\DMS_PgSQL\DMS\t_analysis_job.sql</v>
      </c>
      <c r="E10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</v>
      </c>
      <c r="F10">
        <f t="shared" si="1"/>
        <v>20</v>
      </c>
      <c r="G10" t="s">
        <v>256</v>
      </c>
      <c r="H10" t="str">
        <f t="shared" si="2"/>
        <v>ALTER TABLE public.t_analysis_job DROP CONSTRAINT fk_t_analysis_job_t_myemsl_state;</v>
      </c>
      <c r="I10" t="str">
        <f t="shared" si="3"/>
        <v>ALTER TABLE public.t_analysis_job     ADD CONSTRAINT fk_t_analysis_job_t_myemsl_state FOREIGN KEY (myemsl_state) REFERENCES public.t_myemsl_state(myemsl_state);</v>
      </c>
    </row>
    <row r="11" spans="1:9" x14ac:dyDescent="0.45">
      <c r="A11" t="s">
        <v>60</v>
      </c>
      <c r="B11" t="s">
        <v>52</v>
      </c>
      <c r="C11" t="s">
        <v>62</v>
      </c>
      <c r="D11" t="str">
        <f t="shared" si="0"/>
        <v>f:\Documents\Projects\DataMining\Database_Schema\DMS_PgSQL\DMS\t_analysis_job.sql</v>
      </c>
      <c r="E11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</v>
      </c>
      <c r="F11">
        <f t="shared" si="1"/>
        <v>20</v>
      </c>
      <c r="G11" t="s">
        <v>257</v>
      </c>
      <c r="H11" t="str">
        <f t="shared" si="2"/>
        <v>ALTER TABLE public.t_analysis_job DROP CONSTRAINT fk_t_analysis_job_t_yes_no;</v>
      </c>
      <c r="I11" t="str">
        <f t="shared" si="3"/>
        <v>ALTER TABLE public.t_analysis_job     ADD CONSTRAINT fk_t_analysis_job_t_yes_no FOREIGN KEY (dataset_unreviewed) REFERENCES public.t_yes_no(flag);</v>
      </c>
    </row>
    <row r="12" spans="1:9" x14ac:dyDescent="0.45">
      <c r="A12" t="s">
        <v>60</v>
      </c>
      <c r="B12" t="s">
        <v>73</v>
      </c>
      <c r="C12" t="s">
        <v>74</v>
      </c>
      <c r="D12" t="str">
        <f t="shared" si="0"/>
        <v>f:\Documents\Projects\DataMining\Database_Schema\DMS_PgSQL\DMS\t_analysis_tool_allowed_dataset_type.sql</v>
      </c>
      <c r="E12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</v>
      </c>
      <c r="F12">
        <f t="shared" si="1"/>
        <v>20</v>
      </c>
      <c r="G12" t="s">
        <v>263</v>
      </c>
      <c r="H12" t="str">
        <f t="shared" si="2"/>
        <v>ALTER TABLE public.t_analysis_tool_allowed_dataset_type DROP CONSTRAINT fk_t_analysis_tool_allowed_dataset_type_t_analysis_tool;</v>
      </c>
      <c r="I12" t="str">
        <f t="shared" si="3"/>
        <v>ALTER TABLE public.t_analysis_tool_allowed_dataset_type     ADD CONSTRAINT fk_t_analysis_tool_allowed_dataset_type_t_analysis_tool FOREIGN KEY (analysis_tool_id) REFERENCES public.t_analysis_tool(analysis_tool_id) ON UPDATE CASCADE;</v>
      </c>
    </row>
    <row r="13" spans="1:9" x14ac:dyDescent="0.45">
      <c r="A13" t="s">
        <v>60</v>
      </c>
      <c r="B13" t="s">
        <v>75</v>
      </c>
      <c r="C13" t="s">
        <v>76</v>
      </c>
      <c r="D13" t="str">
        <f t="shared" si="0"/>
        <v>f:\Documents\Projects\DataMining\Database_Schema\DMS_PgSQL\DMS\t_analysis_tool_allowed_instrument_class.sql</v>
      </c>
      <c r="E13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</v>
      </c>
      <c r="F13">
        <f t="shared" si="1"/>
        <v>20</v>
      </c>
      <c r="G13" t="s">
        <v>264</v>
      </c>
      <c r="H13" t="str">
        <f t="shared" si="2"/>
        <v>ALTER TABLE public.t_analysis_tool_allowed_instrument_class DROP CONSTRAINT fk_t_analysis_tool_allowed_instrument_class_t_analysis_tool;</v>
      </c>
      <c r="I13" t="str">
        <f t="shared" si="3"/>
        <v>ALTER TABLE public.t_analysis_tool_allowed_instrument_class     ADD CONSTRAINT fk_t_analysis_tool_allowed_instrument_class_t_analysis_tool FOREIGN KEY (analysis_tool_id) REFERENCES public.t_analysis_tool(analysis_tool_id) ON UPDATE CASCADE;</v>
      </c>
    </row>
    <row r="14" spans="1:9" x14ac:dyDescent="0.45">
      <c r="A14" t="s">
        <v>60</v>
      </c>
      <c r="B14" t="s">
        <v>75</v>
      </c>
      <c r="C14" t="s">
        <v>77</v>
      </c>
      <c r="D14" t="str">
        <f t="shared" si="0"/>
        <v>f:\Documents\Projects\DataMining\Database_Schema\DMS_PgSQL\DMS\t_analysis_tool_allowed_instrument_class.sql</v>
      </c>
      <c r="E14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</v>
      </c>
      <c r="F14">
        <f t="shared" si="1"/>
        <v>20</v>
      </c>
      <c r="G14" t="s">
        <v>265</v>
      </c>
      <c r="H14" t="str">
        <f t="shared" si="2"/>
        <v>ALTER TABLE public.t_analysis_tool_allowed_instrument_class DROP CONSTRAINT fk_t_analysis_tool_allowed_instrument_class_t_instrument_class;</v>
      </c>
      <c r="I14" t="str">
        <f t="shared" si="3"/>
        <v>ALTER TABLE public.t_analysis_tool_allowed_instrument_class     ADD CONSTRAINT fk_t_analysis_tool_allowed_instrument_class_t_instrument_class FOREIGN KEY (instrument_class) REFERENCES public.t_instrument_class(instrument_class) ON UPDATE CASCADE;</v>
      </c>
    </row>
    <row r="15" spans="1:9" x14ac:dyDescent="0.45">
      <c r="A15" t="s">
        <v>60</v>
      </c>
      <c r="B15" t="s">
        <v>3</v>
      </c>
      <c r="C15" t="s">
        <v>72</v>
      </c>
      <c r="D15" t="str">
        <f t="shared" si="0"/>
        <v>f:\Documents\Projects\DataMining\Database_Schema\DMS_PgSQL\DMS\t_analysis_tool.sql</v>
      </c>
      <c r="E15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</v>
      </c>
      <c r="F15">
        <f t="shared" si="1"/>
        <v>20</v>
      </c>
      <c r="G15" t="s">
        <v>262</v>
      </c>
      <c r="H15" t="str">
        <f t="shared" si="2"/>
        <v>ALTER TABLE public.t_analysis_tool DROP CONSTRAINT fk_t_analysis_tool_t_param_file_types;</v>
      </c>
      <c r="I15" t="str">
        <f t="shared" si="3"/>
        <v>ALTER TABLE public.t_analysis_tool     ADD CONSTRAINT fk_t_analysis_tool_t_param_file_types FOREIGN KEY (param_file_type_id) REFERENCES public.t_param_file_types(param_file_type_id);</v>
      </c>
    </row>
    <row r="16" spans="1:9" x14ac:dyDescent="0.45">
      <c r="A16" t="s">
        <v>60</v>
      </c>
      <c r="B16" t="s">
        <v>78</v>
      </c>
      <c r="C16" t="s">
        <v>79</v>
      </c>
      <c r="D16" t="str">
        <f t="shared" si="0"/>
        <v>f:\Documents\Projects\DataMining\Database_Schema\DMS_PgSQL\DMS\t_archive_path.sql</v>
      </c>
      <c r="E16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</v>
      </c>
      <c r="F16">
        <f t="shared" si="1"/>
        <v>20</v>
      </c>
      <c r="G16" t="s">
        <v>266</v>
      </c>
      <c r="H16" t="str">
        <f t="shared" si="2"/>
        <v>ALTER TABLE public.t_archive_path DROP CONSTRAINT fk_t_archive_path_t_archive_path_function;</v>
      </c>
      <c r="I16" t="str">
        <f t="shared" si="3"/>
        <v>ALTER TABLE public.t_archive_path     ADD CONSTRAINT fk_t_archive_path_t_archive_path_function FOREIGN KEY (archive_path_function) REFERENCES public.t_archive_path_function(apf_function);</v>
      </c>
    </row>
    <row r="17" spans="1:9" x14ac:dyDescent="0.45">
      <c r="A17" t="s">
        <v>60</v>
      </c>
      <c r="B17" t="s">
        <v>80</v>
      </c>
      <c r="C17" t="s">
        <v>81</v>
      </c>
      <c r="D17" t="str">
        <f t="shared" si="0"/>
        <v>f:\Documents\Projects\DataMining\Database_Schema\DMS_PgSQL\DMS\t_cached_dataset_stats.sql</v>
      </c>
      <c r="E17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</v>
      </c>
      <c r="F17">
        <f t="shared" si="1"/>
        <v>20</v>
      </c>
      <c r="G17" t="s">
        <v>267</v>
      </c>
      <c r="H17" t="str">
        <f t="shared" si="2"/>
        <v>ALTER TABLE public.t_cached_dataset_stats DROP CONSTRAINT fk_t_cached_dataset_stats_t_instrument_name;</v>
      </c>
      <c r="I17" t="str">
        <f t="shared" si="3"/>
        <v>ALTER TABLE public.t_cached_dataset_stats     ADD CONSTRAINT fk_t_cached_dataset_stats_t_instrument_name FOREIGN KEY (instrument_id) REFERENCES public.t_instrument_name(instrument_id);</v>
      </c>
    </row>
    <row r="18" spans="1:9" x14ac:dyDescent="0.45">
      <c r="A18" t="s">
        <v>60</v>
      </c>
      <c r="B18" t="s">
        <v>82</v>
      </c>
      <c r="C18" t="s">
        <v>83</v>
      </c>
      <c r="D18" t="str">
        <f t="shared" si="0"/>
        <v>f:\Documents\Projects\DataMining\Database_Schema\DMS_PgSQL\DMS\t_cached_instrument_dataset_type_usage.sql</v>
      </c>
      <c r="E18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</v>
      </c>
      <c r="F18">
        <f t="shared" si="1"/>
        <v>20</v>
      </c>
      <c r="G18" t="s">
        <v>268</v>
      </c>
      <c r="H18" t="str">
        <f t="shared" si="2"/>
        <v>ALTER TABLE public.t_cached_instrument_dataset_type_usage DROP CONSTRAINT fk_t_cached_instrument_dataset_type_usage_t_instrument_name;</v>
      </c>
      <c r="I18" t="str">
        <f t="shared" si="3"/>
        <v>ALTER TABLE public.t_cached_instrument_dataset_type_usage     ADD CONSTRAINT fk_t_cached_instrument_dataset_type_usage_t_instrument_name FOREIGN KEY (instrument_id) REFERENCES public.t_instrument_name(instrument_id) ON UPDATE CASCADE;</v>
      </c>
    </row>
    <row r="19" spans="1:9" x14ac:dyDescent="0.45">
      <c r="A19" t="s">
        <v>60</v>
      </c>
      <c r="B19" t="s">
        <v>84</v>
      </c>
      <c r="C19" t="s">
        <v>86</v>
      </c>
      <c r="D19" t="str">
        <f t="shared" si="0"/>
        <v>f:\Documents\Projects\DataMining\Database_Schema\DMS_PgSQL\DMS\t_cached_instrument_usage_by_proposal.sql</v>
      </c>
      <c r="E19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</v>
      </c>
      <c r="F19">
        <f t="shared" si="1"/>
        <v>20</v>
      </c>
      <c r="G19" t="s">
        <v>269</v>
      </c>
      <c r="H19" t="str">
        <f t="shared" si="2"/>
        <v>ALTER TABLE public.t_cached_instrument_usage_by_proposal DROP CONSTRAINT fk_t_cached_instrument_usage_by_proposal_t_eus_proposals;</v>
      </c>
      <c r="I19" t="str">
        <f t="shared" si="3"/>
        <v>ALTER TABLE public.t_cached_instrument_usage_by_proposal     ADD CONSTRAINT fk_t_cached_instrument_usage_by_proposal_t_eus_proposals FOREIGN KEY (eus_proposal_id) REFERENCES public.t_eus_proposals(proposal_id);</v>
      </c>
    </row>
    <row r="20" spans="1:9" x14ac:dyDescent="0.45">
      <c r="A20" t="s">
        <v>60</v>
      </c>
      <c r="B20" t="s">
        <v>84</v>
      </c>
      <c r="C20" t="s">
        <v>85</v>
      </c>
      <c r="D20" t="str">
        <f t="shared" si="0"/>
        <v>f:\Documents\Projects\DataMining\Database_Schema\DMS_PgSQL\DMS\t_cached_instrument_usage_by_proposal.sql</v>
      </c>
      <c r="E20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</v>
      </c>
      <c r="F20">
        <f t="shared" si="1"/>
        <v>20</v>
      </c>
      <c r="G20" t="s">
        <v>270</v>
      </c>
      <c r="H20" t="str">
        <f t="shared" si="2"/>
        <v>ALTER TABLE public.t_cached_instrument_usage_by_proposal DROP CONSTRAINT fk_t_cached_instrument_usage_by_proposal_t_instrument_group;</v>
      </c>
      <c r="I20" t="str">
        <f t="shared" si="3"/>
        <v>ALTER TABLE public.t_cached_instrument_usage_by_proposal     ADD CONSTRAINT fk_t_cached_instrument_usage_by_proposal_t_instrument_group FOREIGN KEY (instrument_group) REFERENCES public.t_instrument_group(instrument_group) ON UPDATE CASCADE;</v>
      </c>
    </row>
    <row r="21" spans="1:9" x14ac:dyDescent="0.45">
      <c r="A21" t="s">
        <v>60</v>
      </c>
      <c r="B21" t="s">
        <v>87</v>
      </c>
      <c r="C21" t="s">
        <v>89</v>
      </c>
      <c r="D21" t="str">
        <f t="shared" si="0"/>
        <v>f:\Documents\Projects\DataMining\Database_Schema\DMS_PgSQL\DMS\t_charge_code.sql</v>
      </c>
      <c r="E21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</v>
      </c>
      <c r="F21">
        <f t="shared" si="1"/>
        <v>20</v>
      </c>
      <c r="G21" t="s">
        <v>252</v>
      </c>
      <c r="H21" t="str">
        <f t="shared" si="2"/>
        <v>ALTER TABLE public.t_charge_code DROP CONSTRAINT fk_t_charge_code_t_charge_code_activation_state;</v>
      </c>
      <c r="I21" t="str">
        <f t="shared" si="3"/>
        <v>ALTER TABLE public.t_charge_code     ADD CONSTRAINT fk_t_charge_code_t_charge_code_activation_state FOREIGN KEY (activation_state) REFERENCES public.t_charge_code_activation_state(activation_state);</v>
      </c>
    </row>
    <row r="22" spans="1:9" x14ac:dyDescent="0.45">
      <c r="A22" t="s">
        <v>60</v>
      </c>
      <c r="B22" t="s">
        <v>87</v>
      </c>
      <c r="C22" t="s">
        <v>88</v>
      </c>
      <c r="D22" t="str">
        <f t="shared" si="0"/>
        <v>f:\Documents\Projects\DataMining\Database_Schema\DMS_PgSQL\DMS\t_charge_code.sql</v>
      </c>
      <c r="E22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</v>
      </c>
      <c r="F22">
        <f t="shared" si="1"/>
        <v>20</v>
      </c>
      <c r="G22" t="s">
        <v>253</v>
      </c>
      <c r="H22" t="str">
        <f t="shared" si="2"/>
        <v>ALTER TABLE public.t_charge_code DROP CONSTRAINT fk_t_charge_code_t_charge_code_state;</v>
      </c>
      <c r="I22" t="str">
        <f t="shared" si="3"/>
        <v>ALTER TABLE public.t_charge_code     ADD CONSTRAINT fk_t_charge_code_t_charge_code_state FOREIGN KEY (charge_code_state) REFERENCES public.t_charge_code_state(charge_code_state);</v>
      </c>
    </row>
    <row r="23" spans="1:9" x14ac:dyDescent="0.45">
      <c r="A23" t="s">
        <v>60</v>
      </c>
      <c r="B23" t="s">
        <v>93</v>
      </c>
      <c r="C23" t="s">
        <v>94</v>
      </c>
      <c r="D23" t="str">
        <f t="shared" si="0"/>
        <v>f:\Documents\Projects\DataMining\Database_Schema\DMS_PgSQL\DMS\t_dataset_archive.sql</v>
      </c>
      <c r="E23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</v>
      </c>
      <c r="F23">
        <f t="shared" si="1"/>
        <v>20</v>
      </c>
      <c r="G23" t="s">
        <v>273</v>
      </c>
      <c r="H23" t="str">
        <f t="shared" si="2"/>
        <v>ALTER TABLE public.t_dataset_archive DROP CONSTRAINT fk_t_dataset_archive_t_myemsl_state;</v>
      </c>
      <c r="I23" t="str">
        <f t="shared" si="3"/>
        <v>ALTER TABLE public.t_dataset_archive     ADD CONSTRAINT fk_t_dataset_archive_t_myemsl_state FOREIGN KEY (myemsl_state) REFERENCES public.t_myemsl_state(myemsl_state);</v>
      </c>
    </row>
    <row r="24" spans="1:9" x14ac:dyDescent="0.45">
      <c r="A24" t="s">
        <v>60</v>
      </c>
      <c r="B24" t="s">
        <v>93</v>
      </c>
      <c r="C24" t="s">
        <v>95</v>
      </c>
      <c r="D24" t="str">
        <f t="shared" si="0"/>
        <v>f:\Documents\Projects\DataMining\Database_Schema\DMS_PgSQL\DMS\t_dataset_archive.sql</v>
      </c>
      <c r="E24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</v>
      </c>
      <c r="F24">
        <f t="shared" si="1"/>
        <v>20</v>
      </c>
      <c r="G24" t="s">
        <v>274</v>
      </c>
      <c r="H24" t="str">
        <f t="shared" si="2"/>
        <v>ALTER TABLE public.t_dataset_archive DROP CONSTRAINT fk_t_dataset_archive_t_yes_no;</v>
      </c>
      <c r="I24" t="str">
        <f t="shared" si="3"/>
        <v>ALTER TABLE public.t_dataset_archive     ADD CONSTRAINT fk_t_dataset_archive_t_yes_no FOREIGN KEY (instrument_data_purged) REFERENCES public.t_yes_no(flag);</v>
      </c>
    </row>
    <row r="25" spans="1:9" x14ac:dyDescent="0.45">
      <c r="A25" t="s">
        <v>60</v>
      </c>
      <c r="B25" t="s">
        <v>90</v>
      </c>
      <c r="C25" t="s">
        <v>91</v>
      </c>
      <c r="D25" t="str">
        <f t="shared" si="0"/>
        <v>f:\Documents\Projects\DataMining\Database_Schema\DMS_PgSQL\DMS\t_dataset.sql</v>
      </c>
      <c r="E25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</v>
      </c>
      <c r="F25">
        <f t="shared" si="1"/>
        <v>20</v>
      </c>
      <c r="G25" t="s">
        <v>271</v>
      </c>
      <c r="H25" t="str">
        <f t="shared" si="2"/>
        <v>ALTER TABLE public.t_dataset DROP CONSTRAINT fk_t_dataset_t_instrument_name;</v>
      </c>
      <c r="I25" t="str">
        <f t="shared" si="3"/>
        <v>ALTER TABLE public.t_dataset     ADD CONSTRAINT fk_t_dataset_t_instrument_name FOREIGN KEY (instrument_id) REFERENCES public.t_instrument_name(instrument_id);</v>
      </c>
    </row>
    <row r="26" spans="1:9" x14ac:dyDescent="0.45">
      <c r="A26" t="s">
        <v>60</v>
      </c>
      <c r="B26" t="s">
        <v>90</v>
      </c>
      <c r="C26" t="s">
        <v>92</v>
      </c>
      <c r="D26" t="str">
        <f t="shared" si="0"/>
        <v>f:\Documents\Projects\DataMining\Database_Schema\DMS_PgSQL\DMS\t_dataset.sql</v>
      </c>
      <c r="E26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</v>
      </c>
      <c r="F26">
        <f t="shared" si="1"/>
        <v>20</v>
      </c>
      <c r="G26" t="s">
        <v>272</v>
      </c>
      <c r="H26" t="str">
        <f t="shared" si="2"/>
        <v>ALTER TABLE public.t_dataset DROP CONSTRAINT fk_t_dataset_t_secondary_sep;</v>
      </c>
      <c r="I26" t="str">
        <f t="shared" si="3"/>
        <v>ALTER TABLE public.t_dataset     ADD CONSTRAINT fk_t_dataset_t_secondary_sep FOREIGN KEY (separation_type) REFERENCES public.t_secondary_sep(separation_type) ON UPDATE CASCADE;</v>
      </c>
    </row>
    <row r="27" spans="1:9" x14ac:dyDescent="0.45">
      <c r="A27" t="s">
        <v>60</v>
      </c>
      <c r="B27" t="s">
        <v>96</v>
      </c>
      <c r="C27" t="s">
        <v>97</v>
      </c>
      <c r="D27" t="str">
        <f t="shared" si="0"/>
        <v>f:\Documents\Projects\DataMining\Database_Schema\DMS_PgSQL\DMS\t_dataset_type_name.sql</v>
      </c>
      <c r="E27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</v>
      </c>
      <c r="F27">
        <f t="shared" si="1"/>
        <v>20</v>
      </c>
      <c r="G27" t="s">
        <v>275</v>
      </c>
      <c r="H27" t="str">
        <f t="shared" si="2"/>
        <v>ALTER TABLE public.t_dataset_type_name DROP CONSTRAINT fk_t_dataset_type_name_t_yes_no;</v>
      </c>
      <c r="I27" t="str">
        <f t="shared" si="3"/>
        <v>ALTER TABLE public.t_dataset_type_name     ADD CONSTRAINT fk_t_dataset_type_name_t_yes_no FOREIGN KEY (active) REFERENCES public.t_yes_no(flag);</v>
      </c>
    </row>
    <row r="28" spans="1:9" x14ac:dyDescent="0.45">
      <c r="A28" t="s">
        <v>60</v>
      </c>
      <c r="B28" t="s">
        <v>98</v>
      </c>
      <c r="C28" t="s">
        <v>99</v>
      </c>
      <c r="D28" t="str">
        <f t="shared" si="0"/>
        <v>f:\Documents\Projects\DataMining\Database_Schema\DMS_PgSQL\DMS\t_default_psm_job_parameters.sql</v>
      </c>
      <c r="E28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</v>
      </c>
      <c r="F28">
        <f t="shared" si="1"/>
        <v>20</v>
      </c>
      <c r="G28" t="s">
        <v>276</v>
      </c>
      <c r="H28" t="str">
        <f t="shared" si="2"/>
        <v>ALTER TABLE public.t_default_psm_job_parameters DROP CONSTRAINT fk_t_default_psm_job_parameters_t_analysis_tool;</v>
      </c>
      <c r="I28" t="str">
        <f t="shared" si="3"/>
        <v>ALTER TABLE public.t_default_psm_job_parameters     ADD CONSTRAINT fk_t_default_psm_job_parameters_t_analysis_tool FOREIGN KEY (tool_name) REFERENCES public.t_analysis_tool(analysis_tool);</v>
      </c>
    </row>
    <row r="29" spans="1:9" x14ac:dyDescent="0.45">
      <c r="A29" t="s">
        <v>60</v>
      </c>
      <c r="B29" t="s">
        <v>98</v>
      </c>
      <c r="C29" t="s">
        <v>100</v>
      </c>
      <c r="D29" t="str">
        <f t="shared" si="0"/>
        <v>f:\Documents\Projects\DataMining\Database_Schema\DMS_PgSQL\DMS\t_default_psm_job_parameters.sql</v>
      </c>
      <c r="E29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</v>
      </c>
      <c r="F29">
        <f t="shared" si="1"/>
        <v>20</v>
      </c>
      <c r="G29" t="s">
        <v>277</v>
      </c>
      <c r="H29" t="str">
        <f t="shared" si="2"/>
        <v>ALTER TABLE public.t_default_psm_job_parameters DROP CONSTRAINT fk_t_default_psm_job_parameters_t_default_psm_job_types;</v>
      </c>
      <c r="I29" t="str">
        <f t="shared" si="3"/>
        <v>ALTER TABLE public.t_default_psm_job_parameters     ADD CONSTRAINT fk_t_default_psm_job_parameters_t_default_psm_job_types FOREIGN KEY (job_type_name) REFERENCES public.t_default_psm_job_types(job_type_name);</v>
      </c>
    </row>
    <row r="30" spans="1:9" x14ac:dyDescent="0.45">
      <c r="A30" t="s">
        <v>60</v>
      </c>
      <c r="B30" t="s">
        <v>101</v>
      </c>
      <c r="C30" t="s">
        <v>102</v>
      </c>
      <c r="D30" t="str">
        <f t="shared" si="0"/>
        <v>f:\Documents\Projects\DataMining\Database_Schema\DMS_PgSQL\DMS\t_default_psm_job_settings.sql</v>
      </c>
      <c r="E30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</v>
      </c>
      <c r="F30">
        <f t="shared" si="1"/>
        <v>20</v>
      </c>
      <c r="G30" t="s">
        <v>278</v>
      </c>
      <c r="H30" t="str">
        <f t="shared" si="2"/>
        <v>ALTER TABLE public.t_default_psm_job_settings DROP CONSTRAINT fk_t_default_psm_job_settings_t_analysis_tool;</v>
      </c>
      <c r="I30" t="str">
        <f t="shared" si="3"/>
        <v>ALTER TABLE public.t_default_psm_job_settings     ADD CONSTRAINT fk_t_default_psm_job_settings_t_analysis_tool FOREIGN KEY (tool_name) REFERENCES public.t_analysis_tool(analysis_tool);</v>
      </c>
    </row>
    <row r="31" spans="1:9" x14ac:dyDescent="0.45">
      <c r="A31" t="s">
        <v>60</v>
      </c>
      <c r="B31" t="s">
        <v>101</v>
      </c>
      <c r="C31" t="s">
        <v>103</v>
      </c>
      <c r="D31" t="str">
        <f t="shared" si="0"/>
        <v>f:\Documents\Projects\DataMining\Database_Schema\DMS_PgSQL\DMS\t_default_psm_job_settings.sql</v>
      </c>
      <c r="E31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</v>
      </c>
      <c r="F31">
        <f t="shared" si="1"/>
        <v>20</v>
      </c>
      <c r="G31" t="s">
        <v>279</v>
      </c>
      <c r="H31" t="str">
        <f t="shared" si="2"/>
        <v>ALTER TABLE public.t_default_psm_job_settings DROP CONSTRAINT fk_t_default_psm_job_settings_t_default_psm_job_types;</v>
      </c>
      <c r="I31" t="str">
        <f t="shared" si="3"/>
        <v>ALTER TABLE public.t_default_psm_job_settings     ADD CONSTRAINT fk_t_default_psm_job_settings_t_default_psm_job_types FOREIGN KEY (job_type_name) REFERENCES public.t_default_psm_job_types(job_type_name);</v>
      </c>
    </row>
    <row r="32" spans="1:9" x14ac:dyDescent="0.45">
      <c r="A32" t="s">
        <v>60</v>
      </c>
      <c r="B32" t="s">
        <v>104</v>
      </c>
      <c r="C32" t="s">
        <v>105</v>
      </c>
      <c r="D32" t="str">
        <f t="shared" si="0"/>
        <v>f:\Documents\Projects\DataMining\Database_Schema\DMS_PgSQL\DMS\t_email_alerts.sql</v>
      </c>
      <c r="E32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</v>
      </c>
      <c r="F32">
        <f t="shared" si="1"/>
        <v>20</v>
      </c>
      <c r="G32" t="s">
        <v>280</v>
      </c>
      <c r="H32" t="str">
        <f t="shared" si="2"/>
        <v>ALTER TABLE public.t_email_alerts DROP CONSTRAINT fk_t_email_alerts_t_email_alert_state;</v>
      </c>
      <c r="I32" t="str">
        <f t="shared" si="3"/>
        <v>ALTER TABLE public.t_email_alerts     ADD CONSTRAINT fk_t_email_alerts_t_email_alert_state FOREIGN KEY (alert_state) REFERENCES public.t_email_alert_state(alert_state);</v>
      </c>
    </row>
    <row r="33" spans="1:9" x14ac:dyDescent="0.45">
      <c r="A33" t="s">
        <v>60</v>
      </c>
      <c r="B33" t="s">
        <v>106</v>
      </c>
      <c r="C33" t="s">
        <v>108</v>
      </c>
      <c r="D33" t="str">
        <f t="shared" si="0"/>
        <v>f:\Documents\Projects\DataMining\Database_Schema\DMS_PgSQL\DMS\t_emsl_dms_instrument_mapping.sql</v>
      </c>
      <c r="E33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</v>
      </c>
      <c r="F33">
        <f t="shared" si="1"/>
        <v>20</v>
      </c>
      <c r="G33" t="s">
        <v>281</v>
      </c>
      <c r="H33" t="str">
        <f t="shared" si="2"/>
        <v>ALTER TABLE public.t_emsl_dms_instrument_mapping DROP CONSTRAINT fk_t_emsl_dms_instrument_mapping_t_emsl_instruments;</v>
      </c>
      <c r="I33" t="str">
        <f t="shared" si="3"/>
        <v>ALTER TABLE public.t_emsl_dms_instrument_mapping     ADD CONSTRAINT fk_t_emsl_dms_instrument_mapping_t_emsl_instruments FOREIGN KEY (eus_instrument_id) REFERENCES public.t_emsl_instruments(eus_instrument_id);</v>
      </c>
    </row>
    <row r="34" spans="1:9" x14ac:dyDescent="0.45">
      <c r="A34" t="s">
        <v>60</v>
      </c>
      <c r="B34" t="s">
        <v>106</v>
      </c>
      <c r="C34" t="s">
        <v>107</v>
      </c>
      <c r="D34" t="str">
        <f t="shared" si="0"/>
        <v>f:\Documents\Projects\DataMining\Database_Schema\DMS_PgSQL\DMS\t_emsl_dms_instrument_mapping.sql</v>
      </c>
      <c r="E34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</v>
      </c>
      <c r="F34">
        <f t="shared" si="1"/>
        <v>20</v>
      </c>
      <c r="G34" t="s">
        <v>282</v>
      </c>
      <c r="H34" t="str">
        <f t="shared" si="2"/>
        <v>ALTER TABLE public.t_emsl_dms_instrument_mapping DROP CONSTRAINT fk_t_emsl_dms_instrument_mapping_t_instrument_name;</v>
      </c>
      <c r="I34" t="str">
        <f t="shared" si="3"/>
        <v>ALTER TABLE public.t_emsl_dms_instrument_mapping     ADD CONSTRAINT fk_t_emsl_dms_instrument_mapping_t_instrument_name FOREIGN KEY (dms_instrument_id) REFERENCES public.t_instrument_name(instrument_id);</v>
      </c>
    </row>
    <row r="35" spans="1:9" x14ac:dyDescent="0.45">
      <c r="A35" t="s">
        <v>60</v>
      </c>
      <c r="B35" t="s">
        <v>109</v>
      </c>
      <c r="C35" t="s">
        <v>110</v>
      </c>
      <c r="D35" t="str">
        <f t="shared" si="0"/>
        <v>f:\Documents\Projects\DataMining\Database_Schema\DMS_PgSQL\DMS\t_emsl_instrument_usage_report.sql</v>
      </c>
      <c r="E35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</v>
      </c>
      <c r="F35">
        <f t="shared" si="1"/>
        <v>20</v>
      </c>
      <c r="G35" t="s">
        <v>283</v>
      </c>
      <c r="H35" t="str">
        <f t="shared" si="2"/>
        <v>ALTER TABLE public.t_emsl_instrument_usage_report DROP CONSTRAINT fk_t_emsl_instrument_usage_report_t_emsl_instruments;</v>
      </c>
      <c r="I35" t="str">
        <f t="shared" si="3"/>
        <v>ALTER TABLE public.t_emsl_instrument_usage_report     ADD CONSTRAINT fk_t_emsl_instrument_usage_report_t_emsl_instruments FOREIGN KEY (emsl_inst_id) REFERENCES public.t_emsl_instruments(eus_instrument_id);</v>
      </c>
    </row>
    <row r="36" spans="1:9" x14ac:dyDescent="0.45">
      <c r="A36" t="s">
        <v>60</v>
      </c>
      <c r="B36" t="s">
        <v>109</v>
      </c>
      <c r="C36" t="s">
        <v>111</v>
      </c>
      <c r="D36" t="str">
        <f t="shared" si="0"/>
        <v>f:\Documents\Projects\DataMining\Database_Schema\DMS_PgSQL\DMS\t_emsl_instrument_usage_report.sql</v>
      </c>
      <c r="E36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</v>
      </c>
      <c r="F36">
        <f t="shared" ref="F36:F67" si="5">FIND(C36,G36)</f>
        <v>20</v>
      </c>
      <c r="G36" t="s">
        <v>284</v>
      </c>
      <c r="H36" t="str">
        <f t="shared" si="2"/>
        <v>ALTER TABLE public.t_emsl_instrument_usage_report DROP CONSTRAINT fk_t_emsl_instrument_usage_report_t_instrument_name;</v>
      </c>
      <c r="I36" t="str">
        <f t="shared" si="3"/>
        <v>ALTER TABLE public.t_emsl_instrument_usage_report     ADD CONSTRAINT fk_t_emsl_instrument_usage_report_t_instrument_name FOREIGN KEY (dms_inst_id) REFERENCES public.t_instrument_name(instrument_id);</v>
      </c>
    </row>
    <row r="37" spans="1:9" x14ac:dyDescent="0.45">
      <c r="A37" t="s">
        <v>60</v>
      </c>
      <c r="B37" t="s">
        <v>112</v>
      </c>
      <c r="C37" t="s">
        <v>113</v>
      </c>
      <c r="D37" t="str">
        <f t="shared" si="0"/>
        <v>f:\Documents\Projects\DataMining\Database_Schema\DMS_PgSQL\DMS\t_entity_rename_log.sql</v>
      </c>
      <c r="E37" t="str">
        <f t="shared" si="4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</v>
      </c>
      <c r="F37">
        <f t="shared" si="5"/>
        <v>20</v>
      </c>
      <c r="G37" t="s">
        <v>285</v>
      </c>
      <c r="H37" t="str">
        <f t="shared" si="2"/>
        <v>ALTER TABLE public.t_entity_rename_log DROP CONSTRAINT fk_t_entity_rename_log_t_event_target;</v>
      </c>
      <c r="I37" t="str">
        <f t="shared" si="3"/>
        <v>ALTER TABLE public.t_entity_rename_log     ADD CONSTRAINT fk_t_entity_rename_log_t_event_target FOREIGN KEY (target_type) REFERENCES public.t_event_target(target_type_id);</v>
      </c>
    </row>
    <row r="38" spans="1:9" x14ac:dyDescent="0.45">
      <c r="A38" t="s">
        <v>60</v>
      </c>
      <c r="B38" t="s">
        <v>114</v>
      </c>
      <c r="C38" t="s">
        <v>116</v>
      </c>
      <c r="D38" t="str">
        <f t="shared" si="0"/>
        <v>f:\Documents\Projects\DataMining\Database_Schema\DMS_PgSQL\DMS\t_eus_proposal_users.sql</v>
      </c>
      <c r="E38" t="str">
        <f t="shared" ref="E38:E69" si="6">E37&amp;C38 &amp; "|"</f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</v>
      </c>
      <c r="F38">
        <f t="shared" si="5"/>
        <v>20</v>
      </c>
      <c r="G38" t="s">
        <v>286</v>
      </c>
      <c r="H38" t="str">
        <f t="shared" si="2"/>
        <v>ALTER TABLE public.t_eus_proposal_users DROP CONSTRAINT fk_t_eus_proposal_users_t_eus_proposals;</v>
      </c>
      <c r="I38" t="str">
        <f t="shared" si="3"/>
        <v>ALTER TABLE public.t_eus_proposal_users     ADD CONSTRAINT fk_t_eus_proposal_users_t_eus_proposals FOREIGN KEY (proposal_id) REFERENCES public.t_eus_proposals(proposal_id);</v>
      </c>
    </row>
    <row r="39" spans="1:9" x14ac:dyDescent="0.45">
      <c r="A39" t="s">
        <v>60</v>
      </c>
      <c r="B39" t="s">
        <v>114</v>
      </c>
      <c r="C39" t="s">
        <v>115</v>
      </c>
      <c r="D39" t="str">
        <f t="shared" si="0"/>
        <v>f:\Documents\Projects\DataMining\Database_Schema\DMS_PgSQL\DMS\t_eus_proposal_users.sql</v>
      </c>
      <c r="E39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</v>
      </c>
      <c r="F39">
        <f t="shared" si="5"/>
        <v>20</v>
      </c>
      <c r="G39" t="s">
        <v>287</v>
      </c>
      <c r="H39" t="str">
        <f t="shared" si="2"/>
        <v>ALTER TABLE public.t_eus_proposal_users DROP CONSTRAINT fk_t_eus_proposal_users_t_eus_users;</v>
      </c>
      <c r="I39" t="str">
        <f t="shared" si="3"/>
        <v>ALTER TABLE public.t_eus_proposal_users     ADD CONSTRAINT fk_t_eus_proposal_users_t_eus_users FOREIGN KEY (person_id) REFERENCES public.t_eus_users(person_id);</v>
      </c>
    </row>
    <row r="40" spans="1:9" x14ac:dyDescent="0.45">
      <c r="A40" t="s">
        <v>60</v>
      </c>
      <c r="B40" t="s">
        <v>13</v>
      </c>
      <c r="C40" t="s">
        <v>117</v>
      </c>
      <c r="D40" t="str">
        <f t="shared" si="0"/>
        <v>f:\Documents\Projects\DataMining\Database_Schema\DMS_PgSQL\DMS\t_eus_proposals.sql</v>
      </c>
      <c r="E40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</v>
      </c>
      <c r="F40">
        <f t="shared" si="5"/>
        <v>20</v>
      </c>
      <c r="G40" t="s">
        <v>288</v>
      </c>
      <c r="H40" t="str">
        <f t="shared" si="2"/>
        <v>ALTER TABLE public.t_eus_proposals DROP CONSTRAINT fk_t_eus_proposals_t_eus_proposal_state_name;</v>
      </c>
      <c r="I40" t="str">
        <f t="shared" si="3"/>
        <v>ALTER TABLE public.t_eus_proposals     ADD CONSTRAINT fk_t_eus_proposals_t_eus_proposal_state_name FOREIGN KEY (state_id) REFERENCES public.t_eus_proposal_state_name(state_id);</v>
      </c>
    </row>
    <row r="41" spans="1:9" x14ac:dyDescent="0.45">
      <c r="A41" t="s">
        <v>60</v>
      </c>
      <c r="B41" t="s">
        <v>15</v>
      </c>
      <c r="C41" t="s">
        <v>118</v>
      </c>
      <c r="D41" t="str">
        <f t="shared" si="0"/>
        <v>f:\Documents\Projects\DataMining\Database_Schema\DMS_PgSQL\DMS\t_eus_users.sql</v>
      </c>
      <c r="E41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</v>
      </c>
      <c r="F41">
        <f t="shared" si="5"/>
        <v>20</v>
      </c>
      <c r="G41" t="s">
        <v>289</v>
      </c>
      <c r="H41" t="str">
        <f t="shared" si="2"/>
        <v>ALTER TABLE public.t_eus_users DROP CONSTRAINT fk_t_eus_users_t_eus_site_status;</v>
      </c>
      <c r="I41" t="str">
        <f t="shared" si="3"/>
        <v>ALTER TABLE public.t_eus_users     ADD CONSTRAINT fk_t_eus_users_t_eus_site_status FOREIGN KEY (site_status_id) REFERENCES public.t_eus_site_status(eus_site_status_id);</v>
      </c>
    </row>
    <row r="42" spans="1:9" x14ac:dyDescent="0.45">
      <c r="A42" t="s">
        <v>119</v>
      </c>
      <c r="B42" t="s">
        <v>120</v>
      </c>
      <c r="C42" t="s">
        <v>121</v>
      </c>
      <c r="D42" t="str">
        <f>"f:\Documents\Projects\DataMining\Database_Schema\DMS_PgSQL\DMS\mc\mc." &amp; B42 &amp; ".sql"</f>
        <v>f:\Documents\Projects\DataMining\Database_Schema\DMS_PgSQL\DMS\mc\mc.t_event_log.sql</v>
      </c>
      <c r="E42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</v>
      </c>
      <c r="F42">
        <f t="shared" si="5"/>
        <v>20</v>
      </c>
      <c r="G42" t="s">
        <v>336</v>
      </c>
      <c r="H42" t="str">
        <f t="shared" si="2"/>
        <v>ALTER TABLE mc.t_event_log DROP CONSTRAINT fk_t_event_log_t_event_target;</v>
      </c>
      <c r="I42" t="str">
        <f t="shared" si="3"/>
        <v>ALTER TABLE mc.t_event_log     ADD CONSTRAINT fk_t_event_log_t_event_target FOREIGN KEY (target_type) REFERENCES mc.t_event_target(id);</v>
      </c>
    </row>
    <row r="43" spans="1:9" x14ac:dyDescent="0.45">
      <c r="A43" t="s">
        <v>122</v>
      </c>
      <c r="B43" t="s">
        <v>120</v>
      </c>
      <c r="C43" t="s">
        <v>121</v>
      </c>
      <c r="D43" t="str">
        <f>"f:\Documents\Projects\DataMining\Database_Schema\DMS_PgSQL\DMS\pc\pc." &amp; B43 &amp; ".sql"</f>
        <v>f:\Documents\Projects\DataMining\Database_Schema\DMS_PgSQL\DMS\pc\pc.t_event_log.sql</v>
      </c>
      <c r="E43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</v>
      </c>
      <c r="F43">
        <f t="shared" si="5"/>
        <v>20</v>
      </c>
      <c r="G43" t="s">
        <v>337</v>
      </c>
      <c r="H43" t="str">
        <f t="shared" si="2"/>
        <v>ALTER TABLE pc.t_event_log DROP CONSTRAINT fk_t_event_log_t_event_target;</v>
      </c>
      <c r="I43" t="str">
        <f t="shared" si="3"/>
        <v>ALTER TABLE pc.t_event_log     ADD CONSTRAINT fk_t_event_log_t_event_target FOREIGN KEY (target_type) REFERENCES pc.t_event_target(id);</v>
      </c>
    </row>
    <row r="44" spans="1:9" x14ac:dyDescent="0.45">
      <c r="A44" t="s">
        <v>60</v>
      </c>
      <c r="B44" t="s">
        <v>123</v>
      </c>
      <c r="C44" t="s">
        <v>124</v>
      </c>
      <c r="D44" t="str">
        <f t="shared" ref="D44:D90" si="7">"f:\Documents\Projects\DataMining\Database_Schema\DMS_PgSQL\DMS\" &amp; B44 &amp; ".sql"</f>
        <v>f:\Documents\Projects\DataMining\Database_Schema\DMS_PgSQL\DMS\t_experiments.sql</v>
      </c>
      <c r="E44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</v>
      </c>
      <c r="F44">
        <f t="shared" si="5"/>
        <v>20</v>
      </c>
      <c r="G44" t="s">
        <v>290</v>
      </c>
      <c r="H44" t="str">
        <f t="shared" si="2"/>
        <v>ALTER TABLE public.t_experiments DROP CONSTRAINT fk_t_experiments_t_sample_labelling;</v>
      </c>
      <c r="I44" t="str">
        <f t="shared" si="3"/>
        <v>ALTER TABLE public.t_experiments     ADD CONSTRAINT fk_t_experiments_t_sample_labelling FOREIGN KEY (labelling) REFERENCES public.t_sample_labelling(label);</v>
      </c>
    </row>
    <row r="45" spans="1:9" x14ac:dyDescent="0.45">
      <c r="A45" t="s">
        <v>60</v>
      </c>
      <c r="B45" t="s">
        <v>123</v>
      </c>
      <c r="C45" t="s">
        <v>125</v>
      </c>
      <c r="D45" t="str">
        <f t="shared" si="7"/>
        <v>f:\Documents\Projects\DataMining\Database_Schema\DMS_PgSQL\DMS\t_experiments.sql</v>
      </c>
      <c r="E45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</v>
      </c>
      <c r="F45">
        <f t="shared" si="5"/>
        <v>20</v>
      </c>
      <c r="G45" t="s">
        <v>291</v>
      </c>
      <c r="H45" t="str">
        <f t="shared" si="2"/>
        <v>ALTER TABLE public.t_experiments DROP CONSTRAINT fk_t_experiments_t_tissue_source;</v>
      </c>
      <c r="I45" t="str">
        <f t="shared" si="3"/>
        <v>ALTER TABLE public.t_experiments     ADD CONSTRAINT fk_t_experiments_t_tissue_source FOREIGN KEY (tissue_source_id) REFERENCES public.t_tissue_source(tissue_source_id);</v>
      </c>
    </row>
    <row r="46" spans="1:9" x14ac:dyDescent="0.45">
      <c r="A46" t="s">
        <v>60</v>
      </c>
      <c r="B46" t="s">
        <v>126</v>
      </c>
      <c r="C46" t="s">
        <v>127</v>
      </c>
      <c r="D46" t="str">
        <f t="shared" si="7"/>
        <v>f:\Documents\Projects\DataMining\Database_Schema\DMS_PgSQL\DMS\t_filter_set_criteria.sql</v>
      </c>
      <c r="E46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</v>
      </c>
      <c r="F46">
        <f t="shared" si="5"/>
        <v>20</v>
      </c>
      <c r="G46" t="s">
        <v>292</v>
      </c>
      <c r="H46" t="str">
        <f t="shared" si="2"/>
        <v>ALTER TABLE public.t_filter_set_criteria DROP CONSTRAINT fk_t_filter_set_criteria_t_filter_set_criteria_groups;</v>
      </c>
      <c r="I46" t="str">
        <f t="shared" si="3"/>
        <v>ALTER TABLE public.t_filter_set_criteria     ADD CONSTRAINT fk_t_filter_set_criteria_t_filter_set_criteria_groups FOREIGN KEY (filter_criteria_group_id) REFERENCES public.t_filter_set_criteria_groups(filter_criteria_group_id);</v>
      </c>
    </row>
    <row r="47" spans="1:9" x14ac:dyDescent="0.45">
      <c r="A47" t="s">
        <v>60</v>
      </c>
      <c r="B47" t="s">
        <v>30</v>
      </c>
      <c r="C47" t="s">
        <v>128</v>
      </c>
      <c r="D47" t="str">
        <f t="shared" si="7"/>
        <v>f:\Documents\Projects\DataMining\Database_Schema\DMS_PgSQL\DMS\t_instrument_group.sql</v>
      </c>
      <c r="E47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</v>
      </c>
      <c r="F47">
        <f t="shared" si="5"/>
        <v>20</v>
      </c>
      <c r="G47" t="s">
        <v>293</v>
      </c>
      <c r="H47" t="str">
        <f t="shared" si="2"/>
        <v>ALTER TABLE public.t_instrument_group DROP CONSTRAINT fk_t_instrument_group_t_instrument_group_allocation_tag;</v>
      </c>
      <c r="I47" t="str">
        <f t="shared" si="3"/>
        <v>ALTER TABLE public.t_instrument_group     ADD CONSTRAINT fk_t_instrument_group_t_instrument_group_allocation_tag FOREIGN KEY (allocation_tag) REFERENCES public.t_instrument_group_allocation_tag(allocation_tag);</v>
      </c>
    </row>
    <row r="48" spans="1:9" x14ac:dyDescent="0.45">
      <c r="A48" t="s">
        <v>60</v>
      </c>
      <c r="B48" t="s">
        <v>30</v>
      </c>
      <c r="C48" t="s">
        <v>129</v>
      </c>
      <c r="D48" t="str">
        <f t="shared" si="7"/>
        <v>f:\Documents\Projects\DataMining\Database_Schema\DMS_PgSQL\DMS\t_instrument_group.sql</v>
      </c>
      <c r="E48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</v>
      </c>
      <c r="F48">
        <f t="shared" si="5"/>
        <v>20</v>
      </c>
      <c r="G48" t="s">
        <v>294</v>
      </c>
      <c r="H48" t="str">
        <f t="shared" si="2"/>
        <v>ALTER TABLE public.t_instrument_group DROP CONSTRAINT fk_t_instrument_group_target_instrument_group;</v>
      </c>
      <c r="I48" t="str">
        <f t="shared" si="3"/>
        <v>ALTER TABLE public.t_instrument_group     ADD CONSTRAINT fk_t_instrument_group_target_instrument_group FOREIGN KEY (target_instrument_group) REFERENCES public.t_instrument_group(instrument_group);</v>
      </c>
    </row>
    <row r="49" spans="1:9" x14ac:dyDescent="0.45">
      <c r="A49" t="s">
        <v>60</v>
      </c>
      <c r="B49" t="s">
        <v>32</v>
      </c>
      <c r="C49" t="s">
        <v>130</v>
      </c>
      <c r="D49" t="str">
        <f t="shared" si="7"/>
        <v>f:\Documents\Projects\DataMining\Database_Schema\DMS_PgSQL\DMS\t_instrument_name.sql</v>
      </c>
      <c r="E49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</v>
      </c>
      <c r="F49">
        <f t="shared" si="5"/>
        <v>20</v>
      </c>
      <c r="G49" t="s">
        <v>295</v>
      </c>
      <c r="H49" t="str">
        <f t="shared" si="2"/>
        <v>ALTER TABLE public.t_instrument_name DROP CONSTRAINT fk_t_instrument_name_t_instrument_class;</v>
      </c>
      <c r="I49" t="str">
        <f t="shared" si="3"/>
        <v>ALTER TABLE public.t_instrument_name     ADD CONSTRAINT fk_t_instrument_name_t_instrument_class FOREIGN KEY (instrument_class) REFERENCES public.t_instrument_class(instrument_class) ON UPDATE CASCADE;</v>
      </c>
    </row>
    <row r="50" spans="1:9" x14ac:dyDescent="0.45">
      <c r="A50" t="s">
        <v>60</v>
      </c>
      <c r="B50" t="s">
        <v>32</v>
      </c>
      <c r="C50" t="s">
        <v>131</v>
      </c>
      <c r="D50" t="str">
        <f t="shared" si="7"/>
        <v>f:\Documents\Projects\DataMining\Database_Schema\DMS_PgSQL\DMS\t_instrument_name.sql</v>
      </c>
      <c r="E50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</v>
      </c>
      <c r="F50">
        <f t="shared" si="5"/>
        <v>20</v>
      </c>
      <c r="G50" t="s">
        <v>296</v>
      </c>
      <c r="H50" t="str">
        <f t="shared" si="2"/>
        <v>ALTER TABLE public.t_instrument_name DROP CONSTRAINT fk_t_instrument_name_t_instrument_ops_role;</v>
      </c>
      <c r="I50" t="str">
        <f t="shared" si="3"/>
        <v>ALTER TABLE public.t_instrument_name     ADD CONSTRAINT fk_t_instrument_name_t_instrument_ops_role FOREIGN KEY (operations_role) REFERENCES public.t_instrument_ops_role(role);</v>
      </c>
    </row>
    <row r="51" spans="1:9" x14ac:dyDescent="0.45">
      <c r="A51" t="s">
        <v>60</v>
      </c>
      <c r="B51" t="s">
        <v>32</v>
      </c>
      <c r="C51" t="s">
        <v>132</v>
      </c>
      <c r="D51" t="str">
        <f t="shared" si="7"/>
        <v>f:\Documents\Projects\DataMining\Database_Schema\DMS_PgSQL\DMS\t_instrument_name.sql</v>
      </c>
      <c r="E51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</v>
      </c>
      <c r="F51">
        <f t="shared" si="5"/>
        <v>20</v>
      </c>
      <c r="G51" t="s">
        <v>297</v>
      </c>
      <c r="H51" t="str">
        <f t="shared" si="2"/>
        <v>ALTER TABLE public.t_instrument_name DROP CONSTRAINT fk_t_instrument_name_t_instrument_state_name;</v>
      </c>
      <c r="I51" t="str">
        <f t="shared" si="3"/>
        <v>ALTER TABLE public.t_instrument_name     ADD CONSTRAINT fk_t_instrument_name_t_instrument_state_name FOREIGN KEY (status) REFERENCES public.t_instrument_state_name(state_name);</v>
      </c>
    </row>
    <row r="52" spans="1:9" x14ac:dyDescent="0.45">
      <c r="A52" t="s">
        <v>60</v>
      </c>
      <c r="B52" t="s">
        <v>32</v>
      </c>
      <c r="C52" t="s">
        <v>133</v>
      </c>
      <c r="D52" t="str">
        <f t="shared" si="7"/>
        <v>f:\Documents\Projects\DataMining\Database_Schema\DMS_PgSQL\DMS\t_instrument_name.sql</v>
      </c>
      <c r="E52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</v>
      </c>
      <c r="F52">
        <f t="shared" si="5"/>
        <v>20</v>
      </c>
      <c r="G52" t="s">
        <v>298</v>
      </c>
      <c r="H52" t="str">
        <f t="shared" si="2"/>
        <v>ALTER TABLE public.t_instrument_name DROP CONSTRAINT fk_t_instrument_name_t_yes_no;</v>
      </c>
      <c r="I52" t="str">
        <f t="shared" si="3"/>
        <v>ALTER TABLE public.t_instrument_name     ADD CONSTRAINT fk_t_instrument_name_t_yes_no FOREIGN KEY (auto_define_storage_path) REFERENCES public.t_yes_no(flag);</v>
      </c>
    </row>
    <row r="53" spans="1:9" x14ac:dyDescent="0.45">
      <c r="A53" t="s">
        <v>60</v>
      </c>
      <c r="B53" t="s">
        <v>134</v>
      </c>
      <c r="C53" t="s">
        <v>135</v>
      </c>
      <c r="D53" t="str">
        <f t="shared" si="7"/>
        <v>f:\Documents\Projects\DataMining\Database_Schema\DMS_PgSQL\DMS\t_internal_std_composition.sql</v>
      </c>
      <c r="E53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</v>
      </c>
      <c r="F53">
        <f t="shared" si="5"/>
        <v>20</v>
      </c>
      <c r="G53" t="s">
        <v>299</v>
      </c>
      <c r="H53" t="str">
        <f t="shared" si="2"/>
        <v>ALTER TABLE public.t_internal_std_composition DROP CONSTRAINT fk_t_internal_standards_composition_t_internal_std_components;</v>
      </c>
      <c r="I53" t="str">
        <f t="shared" si="3"/>
        <v>ALTER TABLE public.t_internal_std_composition     ADD CONSTRAINT fk_t_internal_standards_composition_t_internal_std_components FOREIGN KEY (component_id) REFERENCES public.t_internal_std_components(internal_std_component_id);</v>
      </c>
    </row>
    <row r="54" spans="1:9" x14ac:dyDescent="0.45">
      <c r="A54" t="s">
        <v>60</v>
      </c>
      <c r="B54" t="s">
        <v>134</v>
      </c>
      <c r="C54" t="s">
        <v>136</v>
      </c>
      <c r="D54" t="str">
        <f t="shared" si="7"/>
        <v>f:\Documents\Projects\DataMining\Database_Schema\DMS_PgSQL\DMS\t_internal_std_composition.sql</v>
      </c>
      <c r="E54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</v>
      </c>
      <c r="F54">
        <f t="shared" si="5"/>
        <v>20</v>
      </c>
      <c r="G54" t="s">
        <v>300</v>
      </c>
      <c r="H54" t="str">
        <f t="shared" si="2"/>
        <v>ALTER TABLE public.t_internal_std_composition DROP CONSTRAINT fk_t_internal_std_composition_t_internal_std_parent_mixes;</v>
      </c>
      <c r="I54" t="str">
        <f t="shared" si="3"/>
        <v>ALTER TABLE public.t_internal_std_composition     ADD CONSTRAINT fk_t_internal_std_composition_t_internal_std_parent_mixes FOREIGN KEY (mix_id) REFERENCES public.t_internal_std_parent_mixes(parent_mix_id);</v>
      </c>
    </row>
    <row r="55" spans="1:9" x14ac:dyDescent="0.45">
      <c r="A55" t="s">
        <v>60</v>
      </c>
      <c r="B55" t="s">
        <v>137</v>
      </c>
      <c r="C55" t="s">
        <v>138</v>
      </c>
      <c r="D55" t="str">
        <f t="shared" si="7"/>
        <v>f:\Documents\Projects\DataMining\Database_Schema\DMS_PgSQL\DMS\t_lc_column.sql</v>
      </c>
      <c r="E55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</v>
      </c>
      <c r="F55">
        <f t="shared" si="5"/>
        <v>20</v>
      </c>
      <c r="G55" t="s">
        <v>301</v>
      </c>
      <c r="H55" t="str">
        <f t="shared" si="2"/>
        <v>ALTER TABLE public.t_lc_column DROP CONSTRAINT fk_t_lc_column_t_lc_column_state_name;</v>
      </c>
      <c r="I55" t="str">
        <f t="shared" si="3"/>
        <v>ALTER TABLE public.t_lc_column     ADD CONSTRAINT fk_t_lc_column_t_lc_column_state_name FOREIGN KEY (column_state_id) REFERENCES public.t_lc_column_state_name(column_state_id);</v>
      </c>
    </row>
    <row r="56" spans="1:9" x14ac:dyDescent="0.45">
      <c r="A56" t="s">
        <v>60</v>
      </c>
      <c r="B56" t="s">
        <v>139</v>
      </c>
      <c r="C56" t="s">
        <v>140</v>
      </c>
      <c r="D56" t="str">
        <f t="shared" si="7"/>
        <v>f:\Documents\Projects\DataMining\Database_Schema\DMS_PgSQL\DMS\t_notification_entity_user.sql</v>
      </c>
      <c r="E56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</v>
      </c>
      <c r="F56">
        <f t="shared" si="5"/>
        <v>20</v>
      </c>
      <c r="G56" t="s">
        <v>302</v>
      </c>
      <c r="H56" t="str">
        <f t="shared" si="2"/>
        <v>ALTER TABLE public.t_notification_entity_user DROP CONSTRAINT fk_t_notification_entity_user_t_notification_entity_type;</v>
      </c>
      <c r="I56" t="str">
        <f t="shared" si="3"/>
        <v>ALTER TABLE public.t_notification_entity_user     ADD CONSTRAINT fk_t_notification_entity_user_t_notification_entity_type FOREIGN KEY (entity_type_id) REFERENCES public.t_notification_entity_type(entity_type_id);</v>
      </c>
    </row>
    <row r="57" spans="1:9" x14ac:dyDescent="0.45">
      <c r="A57" t="s">
        <v>60</v>
      </c>
      <c r="B57" t="s">
        <v>141</v>
      </c>
      <c r="C57" t="s">
        <v>142</v>
      </c>
      <c r="D57" t="str">
        <f t="shared" si="7"/>
        <v>f:\Documents\Projects\DataMining\Database_Schema\DMS_PgSQL\DMS\t_notification_event.sql</v>
      </c>
      <c r="E57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</v>
      </c>
      <c r="F57">
        <f t="shared" si="5"/>
        <v>20</v>
      </c>
      <c r="G57" t="s">
        <v>303</v>
      </c>
      <c r="H57" t="str">
        <f t="shared" si="2"/>
        <v>ALTER TABLE public.t_notification_event DROP CONSTRAINT fk_t_notification_event_t_notification_event_type;</v>
      </c>
      <c r="I57" t="str">
        <f t="shared" si="3"/>
        <v>ALTER TABLE public.t_notification_event     ADD CONSTRAINT fk_t_notification_event_t_notification_event_type FOREIGN KEY (event_type_id) REFERENCES public.t_notification_event_type(event_type_id);</v>
      </c>
    </row>
    <row r="58" spans="1:9" x14ac:dyDescent="0.45">
      <c r="A58" t="s">
        <v>60</v>
      </c>
      <c r="B58" t="s">
        <v>43</v>
      </c>
      <c r="C58" t="s">
        <v>143</v>
      </c>
      <c r="D58" t="str">
        <f t="shared" si="7"/>
        <v>f:\Documents\Projects\DataMining\Database_Schema\DMS_PgSQL\DMS\t_notification_event_type.sql</v>
      </c>
      <c r="E58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</v>
      </c>
      <c r="F58">
        <f t="shared" si="5"/>
        <v>20</v>
      </c>
      <c r="G58" t="s">
        <v>304</v>
      </c>
      <c r="H58" t="str">
        <f t="shared" si="2"/>
        <v>ALTER TABLE public.t_notification_event_type DROP CONSTRAINT fk_t_notification_event_type_t_notification_entity_type;</v>
      </c>
      <c r="I58" t="str">
        <f t="shared" si="3"/>
        <v>ALTER TABLE public.t_notification_event_type     ADD CONSTRAINT fk_t_notification_event_type_t_notification_entity_type FOREIGN KEY (target_entity_type) REFERENCES public.t_notification_entity_type(entity_type_id);</v>
      </c>
    </row>
    <row r="59" spans="1:9" x14ac:dyDescent="0.45">
      <c r="A59" t="s">
        <v>60</v>
      </c>
      <c r="B59" t="s">
        <v>144</v>
      </c>
      <c r="C59" t="s">
        <v>145</v>
      </c>
      <c r="D59" t="str">
        <f t="shared" si="7"/>
        <v>f:\Documents\Projects\DataMining\Database_Schema\DMS_PgSQL\DMS\t_organisms.sql</v>
      </c>
      <c r="E59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</v>
      </c>
      <c r="F59">
        <f t="shared" si="5"/>
        <v>20</v>
      </c>
      <c r="G59" t="s">
        <v>305</v>
      </c>
      <c r="H59" t="str">
        <f t="shared" si="2"/>
        <v>ALTER TABLE public.t_organisms DROP CONSTRAINT fk_t_organisms_t_yes_no;</v>
      </c>
      <c r="I59" t="str">
        <f t="shared" si="3"/>
        <v>ALTER TABLE public.t_organisms     ADD CONSTRAINT fk_t_organisms_t_yes_no FOREIGN KEY (auto_define_taxonomy) REFERENCES public.t_yes_no(flag);</v>
      </c>
    </row>
    <row r="60" spans="1:9" x14ac:dyDescent="0.45">
      <c r="A60" t="s">
        <v>60</v>
      </c>
      <c r="B60" t="s">
        <v>146</v>
      </c>
      <c r="C60" t="s">
        <v>147</v>
      </c>
      <c r="D60" t="str">
        <f t="shared" si="7"/>
        <v>f:\Documents\Projects\DataMining\Database_Schema\DMS_PgSQL\DMS\t_param_file_mass_mods.sql</v>
      </c>
      <c r="E60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</v>
      </c>
      <c r="F60">
        <f t="shared" si="5"/>
        <v>20</v>
      </c>
      <c r="G60" t="s">
        <v>306</v>
      </c>
      <c r="H60" t="str">
        <f t="shared" si="2"/>
        <v>ALTER TABLE public.t_param_file_mass_mods DROP CONSTRAINT fk_t_param_file_mass_mods_t_modification_types;</v>
      </c>
      <c r="I60" t="str">
        <f t="shared" si="3"/>
        <v>ALTER TABLE public.t_param_file_mass_mods     ADD CONSTRAINT fk_t_param_file_mass_mods_t_modification_types FOREIGN KEY (mod_type_symbol) REFERENCES public.t_modification_types(mod_type_symbol);</v>
      </c>
    </row>
    <row r="61" spans="1:9" x14ac:dyDescent="0.45">
      <c r="A61" t="s">
        <v>60</v>
      </c>
      <c r="B61" t="s">
        <v>146</v>
      </c>
      <c r="C61" t="s">
        <v>148</v>
      </c>
      <c r="D61" t="str">
        <f t="shared" si="7"/>
        <v>f:\Documents\Projects\DataMining\Database_Schema\DMS_PgSQL\DMS\t_param_file_mass_mods.sql</v>
      </c>
      <c r="E61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</v>
      </c>
      <c r="F61">
        <f t="shared" si="5"/>
        <v>20</v>
      </c>
      <c r="G61" t="s">
        <v>307</v>
      </c>
      <c r="H61" t="str">
        <f t="shared" si="2"/>
        <v>ALTER TABLE public.t_param_file_mass_mods DROP CONSTRAINT fk_t_param_file_mass_mods_t_seq_local_symbols_list;</v>
      </c>
      <c r="I61" t="str">
        <f t="shared" si="3"/>
        <v>ALTER TABLE public.t_param_file_mass_mods     ADD CONSTRAINT fk_t_param_file_mass_mods_t_seq_local_symbols_list FOREIGN KEY (local_symbol_id) REFERENCES public.t_seq_local_symbols_list(local_symbol_id);</v>
      </c>
    </row>
    <row r="62" spans="1:9" x14ac:dyDescent="0.45">
      <c r="A62" t="s">
        <v>60</v>
      </c>
      <c r="B62" t="s">
        <v>2</v>
      </c>
      <c r="C62" t="s">
        <v>149</v>
      </c>
      <c r="D62" t="str">
        <f t="shared" si="7"/>
        <v>f:\Documents\Projects\DataMining\Database_Schema\DMS_PgSQL\DMS\t_param_file_types.sql</v>
      </c>
      <c r="E62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</v>
      </c>
      <c r="F62">
        <f t="shared" si="5"/>
        <v>20</v>
      </c>
      <c r="G62" t="s">
        <v>308</v>
      </c>
      <c r="H62" t="str">
        <f t="shared" si="2"/>
        <v>ALTER TABLE public.t_param_file_types DROP CONSTRAINT fk_t_param_file_types_t_analysis_tool;</v>
      </c>
      <c r="I62" t="str">
        <f t="shared" si="3"/>
        <v>ALTER TABLE public.t_param_file_types     ADD CONSTRAINT fk_t_param_file_types_t_analysis_tool FOREIGN KEY (primary_tool_id) REFERENCES public.t_analysis_tool(analysis_tool_id);</v>
      </c>
    </row>
    <row r="63" spans="1:9" x14ac:dyDescent="0.45">
      <c r="A63" t="s">
        <v>60</v>
      </c>
      <c r="B63" t="s">
        <v>150</v>
      </c>
      <c r="C63" t="s">
        <v>151</v>
      </c>
      <c r="D63" t="str">
        <f t="shared" si="7"/>
        <v>f:\Documents\Projects\DataMining\Database_Schema\DMS_PgSQL\DMS\t_param_files.sql</v>
      </c>
      <c r="E63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</v>
      </c>
      <c r="F63">
        <f t="shared" si="5"/>
        <v>20</v>
      </c>
      <c r="G63" t="s">
        <v>309</v>
      </c>
      <c r="H63" t="str">
        <f t="shared" si="2"/>
        <v>ALTER TABLE public.t_param_files DROP CONSTRAINT fk_t_param_files_t_param_file_types;</v>
      </c>
      <c r="I63" t="str">
        <f t="shared" si="3"/>
        <v>ALTER TABLE public.t_param_files     ADD CONSTRAINT fk_t_param_files_t_param_file_types FOREIGN KEY (param_file_type_id) REFERENCES public.t_param_file_types(param_file_type_id);</v>
      </c>
    </row>
    <row r="64" spans="1:9" x14ac:dyDescent="0.45">
      <c r="A64" t="s">
        <v>60</v>
      </c>
      <c r="B64" t="s">
        <v>155</v>
      </c>
      <c r="C64" t="s">
        <v>156</v>
      </c>
      <c r="D64" t="str">
        <f t="shared" si="7"/>
        <v>f:\Documents\Projects\DataMining\Database_Schema\DMS_PgSQL\DMS\t_predefined_analysis_scheduling_rules.sql</v>
      </c>
      <c r="E64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</v>
      </c>
      <c r="F64">
        <f t="shared" si="5"/>
        <v>20</v>
      </c>
      <c r="G64" t="s">
        <v>312</v>
      </c>
      <c r="H64" t="str">
        <f t="shared" si="2"/>
        <v>ALTER TABLE public.t_predefined_analysis_scheduling_rules DROP CONSTRAINT fk_t_predefined_analysis_scheduling_rules_t_analysis_job;</v>
      </c>
      <c r="I64" t="str">
        <f t="shared" si="3"/>
        <v>ALTER TABLE public.t_predefined_analysis_scheduling_rules     ADD CONSTRAINT fk_t_predefined_analysis_scheduling_rules_t_analysis_job FOREIGN KEY (processor_group_id) REFERENCES public.t_analysis_job_processor_group(group_id);</v>
      </c>
    </row>
    <row r="65" spans="1:9" x14ac:dyDescent="0.45">
      <c r="A65" t="s">
        <v>60</v>
      </c>
      <c r="B65" t="s">
        <v>152</v>
      </c>
      <c r="C65" t="s">
        <v>153</v>
      </c>
      <c r="D65" t="str">
        <f t="shared" si="7"/>
        <v>f:\Documents\Projects\DataMining\Database_Schema\DMS_PgSQL\DMS\t_predefined_analysis.sql</v>
      </c>
      <c r="E65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</v>
      </c>
      <c r="F65">
        <f t="shared" si="5"/>
        <v>20</v>
      </c>
      <c r="G65" t="s">
        <v>310</v>
      </c>
      <c r="H65" t="str">
        <f t="shared" si="2"/>
        <v>ALTER TABLE public.t_predefined_analysis DROP CONSTRAINT fk_t_predefined_analysis_t_analysis_tool;</v>
      </c>
      <c r="I65" t="str">
        <f t="shared" si="3"/>
        <v>ALTER TABLE public.t_predefined_analysis     ADD CONSTRAINT fk_t_predefined_analysis_t_analysis_tool FOREIGN KEY (analysis_tool_name) REFERENCES public.t_analysis_tool(analysis_tool);</v>
      </c>
    </row>
    <row r="66" spans="1:9" x14ac:dyDescent="0.45">
      <c r="A66" t="s">
        <v>60</v>
      </c>
      <c r="B66" t="s">
        <v>152</v>
      </c>
      <c r="C66" t="s">
        <v>154</v>
      </c>
      <c r="D66" t="str">
        <f t="shared" si="7"/>
        <v>f:\Documents\Projects\DataMining\Database_Schema\DMS_PgSQL\DMS\t_predefined_analysis.sql</v>
      </c>
      <c r="E66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</v>
      </c>
      <c r="F66">
        <f t="shared" si="5"/>
        <v>20</v>
      </c>
      <c r="G66" t="s">
        <v>311</v>
      </c>
      <c r="H66" t="str">
        <f t="shared" si="2"/>
        <v>ALTER TABLE public.t_predefined_analysis DROP CONSTRAINT fk_t_predefined_analysis_t_instrument_class;</v>
      </c>
      <c r="I66" t="str">
        <f t="shared" si="3"/>
        <v>ALTER TABLE public.t_predefined_analysis     ADD CONSTRAINT fk_t_predefined_analysis_t_instrument_class FOREIGN KEY (instrument_class_criteria) REFERENCES public.t_instrument_class(instrument_class);</v>
      </c>
    </row>
    <row r="67" spans="1:9" x14ac:dyDescent="0.45">
      <c r="A67" t="s">
        <v>60</v>
      </c>
      <c r="B67" t="s">
        <v>157</v>
      </c>
      <c r="C67" t="s">
        <v>158</v>
      </c>
      <c r="D67" t="str">
        <f t="shared" si="7"/>
        <v>f:\Documents\Projects\DataMining\Database_Schema\DMS_PgSQL\DMS\t_prep_lc_run.sql</v>
      </c>
      <c r="E67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</v>
      </c>
      <c r="F67">
        <f t="shared" si="5"/>
        <v>20</v>
      </c>
      <c r="G67" t="s">
        <v>313</v>
      </c>
      <c r="H67" t="str">
        <f t="shared" si="2"/>
        <v>ALTER TABLE public.t_prep_lc_run DROP CONSTRAINT fk_t_prep_lc_run_t_instrument_name;</v>
      </c>
      <c r="I67" t="str">
        <f t="shared" si="3"/>
        <v>ALTER TABLE public.t_prep_lc_run     ADD CONSTRAINT fk_t_prep_lc_run_t_instrument_name FOREIGN KEY (instrument) REFERENCES public.t_instrument_name(instrument);</v>
      </c>
    </row>
    <row r="68" spans="1:9" x14ac:dyDescent="0.45">
      <c r="A68" t="s">
        <v>60</v>
      </c>
      <c r="B68" t="s">
        <v>159</v>
      </c>
      <c r="C68" t="s">
        <v>160</v>
      </c>
      <c r="D68" t="str">
        <f t="shared" si="7"/>
        <v>f:\Documents\Projects\DataMining\Database_Schema\DMS_PgSQL\DMS\t_project_usage_stats.sql</v>
      </c>
      <c r="E68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</v>
      </c>
      <c r="F68">
        <f t="shared" ref="F68:F99" si="8">FIND(C68,G68)</f>
        <v>20</v>
      </c>
      <c r="G68" t="s">
        <v>314</v>
      </c>
      <c r="H68" t="str">
        <f t="shared" si="2"/>
        <v>ALTER TABLE public.t_project_usage_stats DROP CONSTRAINT fk_t_project_usage_stats_t_eus_proposals;</v>
      </c>
      <c r="I68" t="str">
        <f t="shared" si="3"/>
        <v>ALTER TABLE public.t_project_usage_stats     ADD CONSTRAINT fk_t_project_usage_stats_t_eus_proposals FOREIGN KEY (proposal_id) REFERENCES public.t_eus_proposals(proposal_id);</v>
      </c>
    </row>
    <row r="69" spans="1:9" x14ac:dyDescent="0.45">
      <c r="A69" t="s">
        <v>60</v>
      </c>
      <c r="B69" t="s">
        <v>164</v>
      </c>
      <c r="C69" t="s">
        <v>165</v>
      </c>
      <c r="D69" t="str">
        <f t="shared" si="7"/>
        <v>f:\Documents\Projects\DataMining\Database_Schema\DMS_PgSQL\DMS\t_reporter_ion_observation_rates_addnl.sql</v>
      </c>
      <c r="E69" t="str">
        <f t="shared" si="6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</v>
      </c>
      <c r="F69">
        <f t="shared" si="8"/>
        <v>20</v>
      </c>
      <c r="G69" t="s">
        <v>317</v>
      </c>
      <c r="H69" t="str">
        <f t="shared" ref="H69:H89" si="9">"ALTER TABLE " &amp; A69 &amp; "." &amp; B69 &amp; " DROP CONSTRAINT " &amp; C69 &amp; ";"</f>
        <v>ALTER TABLE public.t_reporter_ion_observation_rates_addnl DROP CONSTRAINT fk_t_reporter_ion_observation_rates_addnl_t_analysis_job;</v>
      </c>
      <c r="I69" t="str">
        <f t="shared" ref="I69:I89" si="10">"ALTER TABLE " &amp; A69 &amp; "." &amp; B69 &amp; " " &amp; G69</f>
        <v>ALTER TABLE public.t_reporter_ion_observation_rates_addnl     ADD CONSTRAINT fk_t_reporter_ion_observation_rates_addnl_t_analysis_job FOREIGN KEY (job) REFERENCES public.t_analysis_job(job);</v>
      </c>
    </row>
    <row r="70" spans="1:9" x14ac:dyDescent="0.45">
      <c r="A70" t="s">
        <v>60</v>
      </c>
      <c r="B70" t="s">
        <v>164</v>
      </c>
      <c r="C70" t="s">
        <v>166</v>
      </c>
      <c r="D70" t="str">
        <f t="shared" si="7"/>
        <v>f:\Documents\Projects\DataMining\Database_Schema\DMS_PgSQL\DMS\t_reporter_ion_observation_rates_addnl.sql</v>
      </c>
      <c r="E70" t="str">
        <f t="shared" ref="E70:E90" si="11">E69&amp;C70 &amp; "|"</f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</v>
      </c>
      <c r="F70">
        <f t="shared" si="8"/>
        <v>20</v>
      </c>
      <c r="G70" t="s">
        <v>318</v>
      </c>
      <c r="H70" t="str">
        <f t="shared" si="9"/>
        <v>ALTER TABLE public.t_reporter_ion_observation_rates_addnl DROP CONSTRAINT fk_t_reporter_ion_observation_rates_addnl_t_sample_labelling;</v>
      </c>
      <c r="I70" t="str">
        <f t="shared" si="10"/>
        <v>ALTER TABLE public.t_reporter_ion_observation_rates_addnl     ADD CONSTRAINT fk_t_reporter_ion_observation_rates_addnl_t_sample_labelling FOREIGN KEY (reporter_ion) REFERENCES public.t_sample_labelling(label) ON UPDATE CASCADE;</v>
      </c>
    </row>
    <row r="71" spans="1:9" x14ac:dyDescent="0.45">
      <c r="A71" t="s">
        <v>60</v>
      </c>
      <c r="B71" t="s">
        <v>161</v>
      </c>
      <c r="C71" t="s">
        <v>162</v>
      </c>
      <c r="D71" t="str">
        <f t="shared" si="7"/>
        <v>f:\Documents\Projects\DataMining\Database_Schema\DMS_PgSQL\DMS\t_reporter_ion_observation_rates.sql</v>
      </c>
      <c r="E71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</v>
      </c>
      <c r="F71">
        <f t="shared" si="8"/>
        <v>20</v>
      </c>
      <c r="G71" t="s">
        <v>315</v>
      </c>
      <c r="H71" t="str">
        <f t="shared" si="9"/>
        <v>ALTER TABLE public.t_reporter_ion_observation_rates DROP CONSTRAINT fk_t_reporter_ion_observation_rates_t_analysis_job;</v>
      </c>
      <c r="I71" t="str">
        <f t="shared" si="10"/>
        <v>ALTER TABLE public.t_reporter_ion_observation_rates     ADD CONSTRAINT fk_t_reporter_ion_observation_rates_t_analysis_job FOREIGN KEY (job) REFERENCES public.t_analysis_job(job);</v>
      </c>
    </row>
    <row r="72" spans="1:9" x14ac:dyDescent="0.45">
      <c r="A72" t="s">
        <v>60</v>
      </c>
      <c r="B72" t="s">
        <v>161</v>
      </c>
      <c r="C72" t="s">
        <v>163</v>
      </c>
      <c r="D72" t="str">
        <f t="shared" si="7"/>
        <v>f:\Documents\Projects\DataMining\Database_Schema\DMS_PgSQL\DMS\t_reporter_ion_observation_rates.sql</v>
      </c>
      <c r="E72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</v>
      </c>
      <c r="F72">
        <f t="shared" si="8"/>
        <v>20</v>
      </c>
      <c r="G72" t="s">
        <v>316</v>
      </c>
      <c r="H72" t="str">
        <f t="shared" si="9"/>
        <v>ALTER TABLE public.t_reporter_ion_observation_rates DROP CONSTRAINT fk_t_reporter_ion_observation_rates_t_sample_labelling;</v>
      </c>
      <c r="I72" t="str">
        <f t="shared" si="10"/>
        <v>ALTER TABLE public.t_reporter_ion_observation_rates     ADD CONSTRAINT fk_t_reporter_ion_observation_rates_t_sample_labelling FOREIGN KEY (reporter_ion) REFERENCES public.t_sample_labelling(label) ON UPDATE CASCADE;</v>
      </c>
    </row>
    <row r="73" spans="1:9" x14ac:dyDescent="0.45">
      <c r="A73" t="s">
        <v>60</v>
      </c>
      <c r="B73" t="s">
        <v>172</v>
      </c>
      <c r="C73" t="s">
        <v>173</v>
      </c>
      <c r="D73" t="str">
        <f t="shared" si="7"/>
        <v>f:\Documents\Projects\DataMining\Database_Schema\DMS_PgSQL\DMS\t_requested_run_eus_users.sql</v>
      </c>
      <c r="E73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</v>
      </c>
      <c r="F73">
        <f t="shared" si="8"/>
        <v>20</v>
      </c>
      <c r="G73" t="s">
        <v>323</v>
      </c>
      <c r="H73" t="str">
        <f t="shared" si="9"/>
        <v>ALTER TABLE public.t_requested_run_eus_users DROP CONSTRAINT fk_t_requested_run_eus_users_t_eus_users;</v>
      </c>
      <c r="I73" t="str">
        <f t="shared" si="10"/>
        <v>ALTER TABLE public.t_requested_run_eus_users     ADD CONSTRAINT fk_t_requested_run_eus_users_t_eus_users FOREIGN KEY (eus_person_id) REFERENCES public.t_eus_users(person_id);</v>
      </c>
    </row>
    <row r="74" spans="1:9" x14ac:dyDescent="0.45">
      <c r="A74" t="s">
        <v>60</v>
      </c>
      <c r="B74" t="s">
        <v>167</v>
      </c>
      <c r="C74" t="s">
        <v>168</v>
      </c>
      <c r="D74" t="str">
        <f t="shared" si="7"/>
        <v>f:\Documents\Projects\DataMining\Database_Schema\DMS_PgSQL\DMS\t_requested_run.sql</v>
      </c>
      <c r="E74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</v>
      </c>
      <c r="F74">
        <f t="shared" si="8"/>
        <v>20</v>
      </c>
      <c r="G74" t="s">
        <v>319</v>
      </c>
      <c r="H74" t="str">
        <f t="shared" si="9"/>
        <v>ALTER TABLE public.t_requested_run DROP CONSTRAINT fk_t_requested_run_t_charge_code_activation_state;</v>
      </c>
      <c r="I74" t="str">
        <f t="shared" si="10"/>
        <v>ALTER TABLE public.t_requested_run     ADD CONSTRAINT fk_t_requested_run_t_charge_code_activation_state FOREIGN KEY (cached_wp_activation_state) REFERENCES public.t_charge_code_activation_state(activation_state);</v>
      </c>
    </row>
    <row r="75" spans="1:9" x14ac:dyDescent="0.45">
      <c r="A75" t="s">
        <v>60</v>
      </c>
      <c r="B75" t="s">
        <v>167</v>
      </c>
      <c r="C75" t="s">
        <v>171</v>
      </c>
      <c r="D75" t="str">
        <f t="shared" si="7"/>
        <v>f:\Documents\Projects\DataMining\Database_Schema\DMS_PgSQL\DMS\t_requested_run.sql</v>
      </c>
      <c r="E75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</v>
      </c>
      <c r="F75">
        <f t="shared" si="8"/>
        <v>20</v>
      </c>
      <c r="G75" t="s">
        <v>320</v>
      </c>
      <c r="H75" t="str">
        <f t="shared" si="9"/>
        <v>ALTER TABLE public.t_requested_run DROP CONSTRAINT fk_t_requested_run_t_eus_proposals;</v>
      </c>
      <c r="I75" t="str">
        <f t="shared" si="10"/>
        <v>ALTER TABLE public.t_requested_run     ADD CONSTRAINT fk_t_requested_run_t_eus_proposals FOREIGN KEY (eus_proposal_id) REFERENCES public.t_eus_proposals(proposal_id);</v>
      </c>
    </row>
    <row r="76" spans="1:9" x14ac:dyDescent="0.45">
      <c r="A76" t="s">
        <v>60</v>
      </c>
      <c r="B76" t="s">
        <v>167</v>
      </c>
      <c r="C76" t="s">
        <v>169</v>
      </c>
      <c r="D76" t="str">
        <f t="shared" si="7"/>
        <v>f:\Documents\Projects\DataMining\Database_Schema\DMS_PgSQL\DMS\t_requested_run.sql</v>
      </c>
      <c r="E76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</v>
      </c>
      <c r="F76">
        <f t="shared" si="8"/>
        <v>20</v>
      </c>
      <c r="G76" t="s">
        <v>321</v>
      </c>
      <c r="H76" t="str">
        <f t="shared" si="9"/>
        <v>ALTER TABLE public.t_requested_run DROP CONSTRAINT fk_t_requested_run_t_requested_run_queue_state;</v>
      </c>
      <c r="I76" t="str">
        <f t="shared" si="10"/>
        <v>ALTER TABLE public.t_requested_run     ADD CONSTRAINT fk_t_requested_run_t_requested_run_queue_state FOREIGN KEY (queue_state) REFERENCES public.t_requested_run_queue_state(queue_state);</v>
      </c>
    </row>
    <row r="77" spans="1:9" x14ac:dyDescent="0.45">
      <c r="A77" t="s">
        <v>60</v>
      </c>
      <c r="B77" t="s">
        <v>167</v>
      </c>
      <c r="C77" t="s">
        <v>170</v>
      </c>
      <c r="D77" t="str">
        <f t="shared" si="7"/>
        <v>f:\Documents\Projects\DataMining\Database_Schema\DMS_PgSQL\DMS\t_requested_run.sql</v>
      </c>
      <c r="E77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</v>
      </c>
      <c r="F77">
        <f t="shared" si="8"/>
        <v>20</v>
      </c>
      <c r="G77" t="s">
        <v>322</v>
      </c>
      <c r="H77" t="str">
        <f t="shared" si="9"/>
        <v>ALTER TABLE public.t_requested_run DROP CONSTRAINT fk_t_requested_run_t_separation_group;</v>
      </c>
      <c r="I77" t="str">
        <f t="shared" si="10"/>
        <v>ALTER TABLE public.t_requested_run     ADD CONSTRAINT fk_t_requested_run_t_separation_group FOREIGN KEY (separation_group) REFERENCES public.t_separation_group(separation_group) ON UPDATE CASCADE;</v>
      </c>
    </row>
    <row r="78" spans="1:9" x14ac:dyDescent="0.45">
      <c r="A78" t="s">
        <v>60</v>
      </c>
      <c r="B78" t="s">
        <v>174</v>
      </c>
      <c r="C78" t="s">
        <v>175</v>
      </c>
      <c r="D78" t="str">
        <f t="shared" si="7"/>
        <v>f:\Documents\Projects\DataMining\Database_Schema\DMS_PgSQL\DMS\t_sample_labelling_reporter_ions.sql</v>
      </c>
      <c r="E78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</v>
      </c>
      <c r="F78">
        <f t="shared" si="8"/>
        <v>20</v>
      </c>
      <c r="G78" t="s">
        <v>324</v>
      </c>
      <c r="H78" t="str">
        <f t="shared" si="9"/>
        <v>ALTER TABLE public.t_sample_labelling_reporter_ions DROP CONSTRAINT fk_t_sample_labelling_reporter_ions_t_sample_labelling;</v>
      </c>
      <c r="I78" t="str">
        <f t="shared" si="10"/>
        <v>ALTER TABLE public.t_sample_labelling_reporter_ions     ADD CONSTRAINT fk_t_sample_labelling_reporter_ions_t_sample_labelling FOREIGN KEY (label) REFERENCES public.t_sample_labelling(label);</v>
      </c>
    </row>
    <row r="79" spans="1:9" x14ac:dyDescent="0.45">
      <c r="A79" t="s">
        <v>60</v>
      </c>
      <c r="B79" t="s">
        <v>176</v>
      </c>
      <c r="C79" t="s">
        <v>177</v>
      </c>
      <c r="D79" t="str">
        <f t="shared" si="7"/>
        <v>f:\Documents\Projects\DataMining\Database_Schema\DMS_PgSQL\DMS\t_sample_prep_request.sql</v>
      </c>
      <c r="E79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</v>
      </c>
      <c r="F79">
        <f t="shared" si="8"/>
        <v>20</v>
      </c>
      <c r="G79" t="s">
        <v>325</v>
      </c>
      <c r="H79" t="str">
        <f t="shared" si="9"/>
        <v>ALTER TABLE public.t_sample_prep_request DROP CONSTRAINT fk_t_sample_prep_request_t_eus_proposals;</v>
      </c>
      <c r="I79" t="str">
        <f t="shared" si="10"/>
        <v>ALTER TABLE public.t_sample_prep_request     ADD CONSTRAINT fk_t_sample_prep_request_t_eus_proposals FOREIGN KEY (eus_proposal_id) REFERENCES public.t_eus_proposals(proposal_id);</v>
      </c>
    </row>
    <row r="80" spans="1:9" x14ac:dyDescent="0.45">
      <c r="A80" t="s">
        <v>60</v>
      </c>
      <c r="B80" t="s">
        <v>176</v>
      </c>
      <c r="C80" t="s">
        <v>178</v>
      </c>
      <c r="D80" t="str">
        <f t="shared" si="7"/>
        <v>f:\Documents\Projects\DataMining\Database_Schema\DMS_PgSQL\DMS\t_sample_prep_request.sql</v>
      </c>
      <c r="E80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</v>
      </c>
      <c r="F80">
        <f t="shared" si="8"/>
        <v>20</v>
      </c>
      <c r="G80" t="s">
        <v>326</v>
      </c>
      <c r="H80" t="str">
        <f t="shared" si="9"/>
        <v>ALTER TABLE public.t_sample_prep_request DROP CONSTRAINT fk_t_sample_prep_request_t_eus_users;</v>
      </c>
      <c r="I80" t="str">
        <f t="shared" si="10"/>
        <v>ALTER TABLE public.t_sample_prep_request     ADD CONSTRAINT fk_t_sample_prep_request_t_eus_users FOREIGN KEY (eus_user_id) REFERENCES public.t_eus_users(person_id);</v>
      </c>
    </row>
    <row r="81" spans="1:9" x14ac:dyDescent="0.45">
      <c r="A81" t="s">
        <v>60</v>
      </c>
      <c r="B81" t="s">
        <v>176</v>
      </c>
      <c r="C81" t="s">
        <v>179</v>
      </c>
      <c r="D81" t="str">
        <f t="shared" si="7"/>
        <v>f:\Documents\Projects\DataMining\Database_Schema\DMS_PgSQL\DMS\t_sample_prep_request.sql</v>
      </c>
      <c r="E81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</v>
      </c>
      <c r="F81">
        <f t="shared" si="8"/>
        <v>20</v>
      </c>
      <c r="G81" t="s">
        <v>327</v>
      </c>
      <c r="H81" t="str">
        <f t="shared" si="9"/>
        <v>ALTER TABLE public.t_sample_prep_request DROP CONSTRAINT fk_t_sample_prep_request_t_sample_prep_request_state_name;</v>
      </c>
      <c r="I81" t="str">
        <f t="shared" si="10"/>
        <v>ALTER TABLE public.t_sample_prep_request     ADD CONSTRAINT fk_t_sample_prep_request_t_sample_prep_request_state_name FOREIGN KEY (state_id) REFERENCES public.t_sample_prep_request_state_name(state_id);</v>
      </c>
    </row>
    <row r="82" spans="1:9" x14ac:dyDescent="0.45">
      <c r="A82" t="s">
        <v>60</v>
      </c>
      <c r="B82" t="s">
        <v>176</v>
      </c>
      <c r="C82" t="s">
        <v>180</v>
      </c>
      <c r="D82" t="str">
        <f t="shared" si="7"/>
        <v>f:\Documents\Projects\DataMining\Database_Schema\DMS_PgSQL\DMS\t_sample_prep_request.sql</v>
      </c>
      <c r="E82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fk_t_sample_prep_request_t_sample_prep_request_type_name|</v>
      </c>
      <c r="F82">
        <f t="shared" si="8"/>
        <v>20</v>
      </c>
      <c r="G82" t="s">
        <v>328</v>
      </c>
      <c r="H82" t="str">
        <f t="shared" si="9"/>
        <v>ALTER TABLE public.t_sample_prep_request DROP CONSTRAINT fk_t_sample_prep_request_t_sample_prep_request_type_name;</v>
      </c>
      <c r="I82" t="str">
        <f t="shared" si="10"/>
        <v>ALTER TABLE public.t_sample_prep_request     ADD CONSTRAINT fk_t_sample_prep_request_t_sample_prep_request_type_name FOREIGN KEY (request_type) REFERENCES public.t_sample_prep_request_type_name(request_type);</v>
      </c>
    </row>
    <row r="83" spans="1:9" x14ac:dyDescent="0.45">
      <c r="A83" t="s">
        <v>60</v>
      </c>
      <c r="B83" t="s">
        <v>40</v>
      </c>
      <c r="C83" t="s">
        <v>181</v>
      </c>
      <c r="D83" t="str">
        <f t="shared" si="7"/>
        <v>f:\Documents\Projects\DataMining\Database_Schema\DMS_PgSQL\DMS\t_secondary_sep.sql</v>
      </c>
      <c r="E83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fk_t_sample_prep_request_t_sample_prep_request_type_name|fk_t_secondary_sep_t_secondary_sep_sample_type|</v>
      </c>
      <c r="F83">
        <f t="shared" si="8"/>
        <v>20</v>
      </c>
      <c r="G83" t="s">
        <v>329</v>
      </c>
      <c r="H83" t="str">
        <f t="shared" si="9"/>
        <v>ALTER TABLE public.t_secondary_sep DROP CONSTRAINT fk_t_secondary_sep_t_secondary_sep_sample_type;</v>
      </c>
      <c r="I83" t="str">
        <f t="shared" si="10"/>
        <v>ALTER TABLE public.t_secondary_sep     ADD CONSTRAINT fk_t_secondary_sep_t_secondary_sep_sample_type FOREIGN KEY (sample_type_id) REFERENCES public.t_secondary_sep_sample_type(sample_type_id);</v>
      </c>
    </row>
    <row r="84" spans="1:9" x14ac:dyDescent="0.45">
      <c r="A84" t="s">
        <v>60</v>
      </c>
      <c r="B84" t="s">
        <v>40</v>
      </c>
      <c r="C84" t="s">
        <v>182</v>
      </c>
      <c r="D84" t="str">
        <f t="shared" si="7"/>
        <v>f:\Documents\Projects\DataMining\Database_Schema\DMS_PgSQL\DMS\t_secondary_sep.sql</v>
      </c>
      <c r="E84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fk_t_sample_prep_request_t_sample_prep_request_type_name|fk_t_secondary_sep_t_secondary_sep_sample_type|fk_t_secondary_sep_t_separation_group|</v>
      </c>
      <c r="F84">
        <f t="shared" si="8"/>
        <v>20</v>
      </c>
      <c r="G84" t="s">
        <v>330</v>
      </c>
      <c r="H84" t="str">
        <f t="shared" si="9"/>
        <v>ALTER TABLE public.t_secondary_sep DROP CONSTRAINT fk_t_secondary_sep_t_separation_group;</v>
      </c>
      <c r="I84" t="str">
        <f t="shared" si="10"/>
        <v>ALTER TABLE public.t_secondary_sep     ADD CONSTRAINT fk_t_secondary_sep_t_separation_group FOREIGN KEY (separation_group) REFERENCES public.t_separation_group(separation_group) ON UPDATE CASCADE;</v>
      </c>
    </row>
    <row r="85" spans="1:9" x14ac:dyDescent="0.45">
      <c r="A85" t="s">
        <v>60</v>
      </c>
      <c r="B85" t="s">
        <v>183</v>
      </c>
      <c r="C85" t="s">
        <v>184</v>
      </c>
      <c r="D85" t="str">
        <f t="shared" si="7"/>
        <v>f:\Documents\Projects\DataMining\Database_Schema\DMS_PgSQL\DMS\t_settings_files.sql</v>
      </c>
      <c r="E85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fk_t_sample_prep_request_t_sample_prep_request_type_name|fk_t_secondary_sep_t_secondary_sep_sample_type|fk_t_secondary_sep_t_separation_group|fk_t_settings_files_t_analysis_tool|</v>
      </c>
      <c r="F85">
        <f t="shared" si="8"/>
        <v>20</v>
      </c>
      <c r="G85" t="s">
        <v>331</v>
      </c>
      <c r="H85" t="str">
        <f t="shared" si="9"/>
        <v>ALTER TABLE public.t_settings_files DROP CONSTRAINT fk_t_settings_files_t_analysis_tool;</v>
      </c>
      <c r="I85" t="str">
        <f t="shared" si="10"/>
        <v>ALTER TABLE public.t_settings_files     ADD CONSTRAINT fk_t_settings_files_t_analysis_tool FOREIGN KEY (analysis_tool) REFERENCES public.t_analysis_tool(analysis_tool);</v>
      </c>
    </row>
    <row r="86" spans="1:9" x14ac:dyDescent="0.45">
      <c r="A86" t="s">
        <v>60</v>
      </c>
      <c r="B86" t="s">
        <v>185</v>
      </c>
      <c r="C86" t="s">
        <v>186</v>
      </c>
      <c r="D86" t="str">
        <f t="shared" si="7"/>
        <v>f:\Documents\Projects\DataMining\Database_Schema\DMS_PgSQL\DMS\t_storage_path.sql</v>
      </c>
      <c r="E86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fk_t_sample_prep_request_t_sample_prep_request_type_name|fk_t_secondary_sep_t_secondary_sep_sample_type|fk_t_secondary_sep_t_separation_group|fk_t_settings_files_t_analysis_tool|fk_t_storage_path_t_instrument_name|</v>
      </c>
      <c r="F86">
        <f t="shared" si="8"/>
        <v>20</v>
      </c>
      <c r="G86" t="s">
        <v>332</v>
      </c>
      <c r="H86" t="str">
        <f t="shared" si="9"/>
        <v>ALTER TABLE public.t_storage_path DROP CONSTRAINT fk_t_storage_path_t_instrument_name;</v>
      </c>
      <c r="I86" t="str">
        <f t="shared" si="10"/>
        <v>ALTER TABLE public.t_storage_path     ADD CONSTRAINT fk_t_storage_path_t_instrument_name FOREIGN KEY (instrument) REFERENCES public.t_instrument_name(instrument) ON UPDATE CASCADE;</v>
      </c>
    </row>
    <row r="87" spans="1:9" x14ac:dyDescent="0.45">
      <c r="A87" t="s">
        <v>60</v>
      </c>
      <c r="B87" t="s">
        <v>185</v>
      </c>
      <c r="C87" t="s">
        <v>187</v>
      </c>
      <c r="D87" t="str">
        <f t="shared" si="7"/>
        <v>f:\Documents\Projects\DataMining\Database_Schema\DMS_PgSQL\DMS\t_storage_path.sql</v>
      </c>
      <c r="E87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fk_t_sample_prep_request_t_sample_prep_request_type_name|fk_t_secondary_sep_t_secondary_sep_sample_type|fk_t_secondary_sep_t_separation_group|fk_t_settings_files_t_analysis_tool|fk_t_storage_path_t_instrument_name|fk_t_storage_path_t_storage_path_hosts|</v>
      </c>
      <c r="F87">
        <f t="shared" si="8"/>
        <v>20</v>
      </c>
      <c r="G87" t="s">
        <v>333</v>
      </c>
      <c r="H87" t="str">
        <f t="shared" si="9"/>
        <v>ALTER TABLE public.t_storage_path DROP CONSTRAINT fk_t_storage_path_t_storage_path_hosts;</v>
      </c>
      <c r="I87" t="str">
        <f t="shared" si="10"/>
        <v>ALTER TABLE public.t_storage_path     ADD CONSTRAINT fk_t_storage_path_t_storage_path_hosts FOREIGN KEY (machine_name) REFERENCES public.t_storage_path_hosts(machine_name);</v>
      </c>
    </row>
    <row r="88" spans="1:9" x14ac:dyDescent="0.45">
      <c r="A88" t="s">
        <v>60</v>
      </c>
      <c r="B88" t="s">
        <v>188</v>
      </c>
      <c r="C88" t="s">
        <v>189</v>
      </c>
      <c r="D88" t="str">
        <f t="shared" si="7"/>
        <v>f:\Documents\Projects\DataMining\Database_Schema\DMS_PgSQL\DMS\t_users.sql</v>
      </c>
      <c r="E88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fk_t_sample_prep_request_t_sample_prep_request_type_name|fk_t_secondary_sep_t_secondary_sep_sample_type|fk_t_secondary_sep_t_separation_group|fk_t_settings_files_t_analysis_tool|fk_t_storage_path_t_instrument_name|fk_t_storage_path_t_storage_path_hosts|fk_t_users_t_user_status|</v>
      </c>
      <c r="F88">
        <f t="shared" si="8"/>
        <v>20</v>
      </c>
      <c r="G88" t="s">
        <v>334</v>
      </c>
      <c r="H88" t="str">
        <f t="shared" si="9"/>
        <v>ALTER TABLE public.t_users DROP CONSTRAINT fk_t_users_t_user_status;</v>
      </c>
      <c r="I88" t="str">
        <f t="shared" si="10"/>
        <v>ALTER TABLE public.t_users     ADD CONSTRAINT fk_t_users_t_user_status FOREIGN KEY (status) REFERENCES public.t_user_status(status);</v>
      </c>
    </row>
    <row r="89" spans="1:9" x14ac:dyDescent="0.45">
      <c r="A89" t="s">
        <v>60</v>
      </c>
      <c r="B89" t="s">
        <v>349</v>
      </c>
      <c r="C89" t="s">
        <v>350</v>
      </c>
      <c r="D89" t="str">
        <f t="shared" si="7"/>
        <v>f:\Documents\Projects\DataMining\Database_Schema\DMS_PgSQL\DMS\t_analysis_job_processor_group_associations.sql</v>
      </c>
      <c r="E89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fk_t_sample_prep_request_t_sample_prep_request_type_name|fk_t_secondary_sep_t_secondary_sep_sample_type|fk_t_secondary_sep_t_separation_group|fk_t_settings_files_t_analysis_tool|fk_t_storage_path_t_instrument_name|fk_t_storage_path_t_storage_path_hosts|fk_t_users_t_user_status|fk_t_analysis_job_processor_group_associations_t_analysis_job1|</v>
      </c>
      <c r="F89">
        <f t="shared" ref="F89:F90" si="12">FIND(C89,G89)</f>
        <v>20</v>
      </c>
      <c r="G89" t="s">
        <v>352</v>
      </c>
      <c r="H89" t="str">
        <f t="shared" si="9"/>
        <v>ALTER TABLE public.t_analysis_job_processor_group_associations DROP CONSTRAINT fk_t_analysis_job_processor_group_associations_t_analysis_job1;</v>
      </c>
      <c r="I89" t="str">
        <f t="shared" si="10"/>
        <v>ALTER TABLE public.t_analysis_job_processor_group_associations     ADD CONSTRAINT fk_t_analysis_job_processor_group_associations_t_analysis_job1 FOREIGN KEY (job) REFERENCES public.t_analysis_job(job) ON DELETE CASCADE;</v>
      </c>
    </row>
    <row r="90" spans="1:9" x14ac:dyDescent="0.45">
      <c r="A90" t="s">
        <v>60</v>
      </c>
      <c r="B90" t="s">
        <v>349</v>
      </c>
      <c r="C90" t="s">
        <v>351</v>
      </c>
      <c r="D90" t="str">
        <f t="shared" si="7"/>
        <v>f:\Documents\Projects\DataMining\Database_Schema\DMS_PgSQL\DMS\t_analysis_job_processor_group_associations.sql</v>
      </c>
      <c r="E90" t="str">
        <f t="shared" si="11"/>
        <v>fk_t_analysis_job_processor_tools_t_analysis_tool|fk_t_analysis_job_request_t_analysis_job_request_state|fk_t_analysis_job_status_history_t_analysis_job_state|fk_t_analysis_job_status_history_t_analysis_tool|fk_t_analysis_job_t_analysis_job_state|fk_t_analysis_job_t_analysis_tool|fk_t_analysis_job_t_myemsl_state|fk_t_analysis_job_t_yes_no|fk_t_analysis_tool_allowed_dataset_type_t_analysis_tool|fk_t_analysis_tool_allowed_instrument_class_t_analysis_tool|fk_t_analysis_tool_allowed_instrument_class_t_instrument_class|fk_t_analysis_tool_t_param_file_types|fk_t_archive_path_t_archive_path_function|fk_t_cached_dataset_stats_t_instrument_name|fk_t_cached_instrument_dataset_type_usage_t_instrument_name|fk_t_cached_instrument_usage_by_proposal_t_eus_proposals|fk_t_cached_instrument_usage_by_proposal_t_instrument_group|fk_t_charge_code_t_charge_code_activation_state|fk_t_charge_code_t_charge_code_state|fk_t_dataset_archive_t_myemsl_state|fk_t_dataset_archive_t_yes_no|fk_t_dataset_t_instrument_name|fk_t_dataset_t_secondary_sep|fk_t_dataset_type_name_t_yes_no|fk_t_default_psm_job_parameters_t_analysis_tool|fk_t_default_psm_job_parameters_t_default_psm_job_types|fk_t_default_psm_job_settings_t_analysis_tool|fk_t_default_psm_job_settings_t_default_psm_job_types|fk_t_email_alerts_t_email_alert_state|fk_t_emsl_dms_instrument_mapping_t_emsl_instruments|fk_t_emsl_dms_instrument_mapping_t_instrument_name|fk_t_emsl_instrument_usage_report_t_emsl_instruments|fk_t_emsl_instrument_usage_report_t_instrument_name|fk_t_entity_rename_log_t_event_target|fk_t_eus_proposal_users_t_eus_proposals|fk_t_eus_proposal_users_t_eus_users|fk_t_eus_proposals_t_eus_proposal_state_name|fk_t_eus_users_t_eus_site_status|fk_t_event_log_t_event_target|fk_t_event_log_t_event_target|fk_t_experiments_t_sample_labelling|fk_t_experiments_t_tissue_source|fk_t_filter_set_criteria_t_filter_set_criteria_groups|fk_t_instrument_group_t_instrument_group_allocation_tag|fk_t_instrument_group_target_instrument_group|fk_t_instrument_name_t_instrument_class|fk_t_instrument_name_t_instrument_ops_role|fk_t_instrument_name_t_instrument_state_name|fk_t_instrument_name_t_yes_no|fk_t_internal_standards_composition_t_internal_std_components|fk_t_internal_std_composition_t_internal_std_parent_mixes|fk_t_lc_column_t_lc_column_state_name|fk_t_notification_entity_user_t_notification_entity_type|fk_t_notification_event_t_notification_event_type|fk_t_notification_event_type_t_notification_entity_type|fk_t_organisms_t_yes_no|fk_t_param_file_mass_mods_t_modification_types|fk_t_param_file_mass_mods_t_seq_local_symbols_list|fk_t_param_file_types_t_analysis_tool|fk_t_param_files_t_param_file_types|fk_t_predefined_analysis_scheduling_rules_t_analysis_job|fk_t_predefined_analysis_t_analysis_tool|fk_t_predefined_analysis_t_instrument_class|fk_t_prep_lc_run_t_instrument_name|fk_t_project_usage_stats_t_eus_proposals|fk_t_reporter_ion_observation_rates_addnl_t_analysis_job|fk_t_reporter_ion_observation_rates_addnl_t_sample_labelling|fk_t_reporter_ion_observation_rates_t_analysis_job|fk_t_reporter_ion_observation_rates_t_sample_labelling|fk_t_requested_run_eus_users_t_eus_users|fk_t_requested_run_t_charge_code_activation_state|fk_t_requested_run_t_eus_proposals|fk_t_requested_run_t_requested_run_queue_state|fk_t_requested_run_t_separation_group|fk_t_sample_labelling_reporter_ions_t_sample_labelling|fk_t_sample_prep_request_t_eus_proposals|fk_t_sample_prep_request_t_eus_users|fk_t_sample_prep_request_t_sample_prep_request_state_name|fk_t_sample_prep_request_t_sample_prep_request_type_name|fk_t_secondary_sep_t_secondary_sep_sample_type|fk_t_secondary_sep_t_separation_group|fk_t_settings_files_t_analysis_tool|fk_t_storage_path_t_instrument_name|fk_t_storage_path_t_storage_path_hosts|fk_t_users_t_user_status|fk_t_analysis_job_processor_group_associations_t_analysis_job1|fk_t_analysis_job_processor_group_associations_t_analysis_job2|</v>
      </c>
      <c r="F90">
        <f t="shared" si="12"/>
        <v>20</v>
      </c>
      <c r="G90" t="s">
        <v>353</v>
      </c>
      <c r="H90" t="str">
        <f t="shared" ref="H90" si="13">"ALTER TABLE " &amp; A90 &amp; "." &amp; B90 &amp; " DROP CONSTRAINT " &amp; C90 &amp; ";"</f>
        <v>ALTER TABLE public.t_analysis_job_processor_group_associations DROP CONSTRAINT fk_t_analysis_job_processor_group_associations_t_analysis_job2;</v>
      </c>
      <c r="I90" t="str">
        <f t="shared" ref="I90" si="14">"ALTER TABLE " &amp; A90 &amp; "." &amp; B90 &amp; " " &amp; G90</f>
        <v>ALTER TABLE public.t_analysis_job_processor_group_associations     ADD CONSTRAINT fk_t_analysis_job_processor_group_associations_t_analysis_job2 FOREIGN KEY (group_id) REFERENCES public.t_analysis_job_processor_group(group_id);</v>
      </c>
    </row>
    <row r="92" spans="1:9" x14ac:dyDescent="0.45">
      <c r="H92" s="1" t="s">
        <v>343</v>
      </c>
      <c r="I92" s="3" t="s">
        <v>344</v>
      </c>
    </row>
    <row r="93" spans="1:9" x14ac:dyDescent="0.45">
      <c r="H93" s="1" t="s">
        <v>341</v>
      </c>
      <c r="I93" s="3" t="s">
        <v>340</v>
      </c>
    </row>
    <row r="94" spans="1:9" x14ac:dyDescent="0.45">
      <c r="H94" s="1" t="s">
        <v>342</v>
      </c>
    </row>
    <row r="96" spans="1:9" x14ac:dyDescent="0.45">
      <c r="H96" s="2" t="s">
        <v>345</v>
      </c>
      <c r="I96" s="3" t="s">
        <v>347</v>
      </c>
    </row>
    <row r="97" spans="8:9" x14ac:dyDescent="0.45">
      <c r="H97" s="2" t="s">
        <v>346</v>
      </c>
      <c r="I97" s="3" t="s">
        <v>348</v>
      </c>
    </row>
  </sheetData>
  <sortState xmlns:xlrd2="http://schemas.microsoft.com/office/spreadsheetml/2017/richdata2" ref="G4:G88">
    <sortCondition ref="G4:G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Foreign_Key_Constraint_Tables</vt:lpstr>
      <vt:lpstr>Drop_Add_Foreign_Keys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Monroe, Matthew E</dc:creator>
  <cp:lastModifiedBy>Monroe, Matthew E</cp:lastModifiedBy>
  <dcterms:created xsi:type="dcterms:W3CDTF">2025-09-06T22:44:30Z</dcterms:created>
  <dcterms:modified xsi:type="dcterms:W3CDTF">2025-09-12T01:32:49Z</dcterms:modified>
</cp:coreProperties>
</file>